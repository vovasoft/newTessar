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总表" sheetId="1" r:id="rId1"/>
    <sheet name="渠道表" sheetId="3" r:id="rId2"/>
    <sheet name="留存表" sheetId="2" r:id="rId3"/>
    <sheet name="付费表" sheetId="4" r:id="rId4"/>
    <sheet name="Sheet8" sheetId="12" state="hidden" r:id="rId5"/>
    <sheet name="Sheet6" sheetId="10" state="hidden" r:id="rId6"/>
    <sheet name="Sheet7" sheetId="11" state="hidden" r:id="rId7"/>
    <sheet name="Sheet9" sheetId="13" state="hidden" r:id="rId8"/>
    <sheet name="Sheet3" sheetId="7" state="hidden" r:id="rId9"/>
    <sheet name="Sheet2" sheetId="6" state="hidden" r:id="rId10"/>
    <sheet name="Sheet1" sheetId="5" state="hidden" r:id="rId11"/>
    <sheet name="Sheet4" sheetId="8" state="hidden" r:id="rId12"/>
    <sheet name="Sheet5" sheetId="9" state="hidden" r:id="rId13"/>
  </sheets>
  <calcPr calcId="152511"/>
</workbook>
</file>

<file path=xl/calcChain.xml><?xml version="1.0" encoding="utf-8"?>
<calcChain xmlns="http://schemas.openxmlformats.org/spreadsheetml/2006/main">
  <c r="AF9" i="3" l="1"/>
  <c r="AL4" i="3" l="1"/>
  <c r="AM4" i="3" s="1"/>
  <c r="AL5" i="3"/>
  <c r="AM5" i="3" s="1"/>
  <c r="AL6" i="3"/>
  <c r="AM6" i="3" s="1"/>
  <c r="AL7" i="3"/>
  <c r="AM7" i="3" s="1"/>
  <c r="AL8" i="3"/>
  <c r="AM8" i="3" s="1"/>
  <c r="AL9" i="3"/>
  <c r="AM9" i="3" s="1"/>
  <c r="AL10" i="3"/>
  <c r="AM10" i="3" s="1"/>
  <c r="AL11" i="3"/>
  <c r="AM11" i="3" s="1"/>
  <c r="AL12" i="3"/>
  <c r="AM12" i="3" s="1"/>
  <c r="AL13" i="3"/>
  <c r="AM13" i="3" s="1"/>
  <c r="AL14" i="3"/>
  <c r="AM14" i="3" s="1"/>
  <c r="AL15" i="3"/>
  <c r="AM15" i="3" s="1"/>
  <c r="AJ4" i="3"/>
  <c r="AK4" i="3" s="1"/>
  <c r="AJ5" i="3"/>
  <c r="AK5" i="3" s="1"/>
  <c r="AJ6" i="3"/>
  <c r="AK6" i="3" s="1"/>
  <c r="AJ7" i="3"/>
  <c r="AK7" i="3" s="1"/>
  <c r="AJ8" i="3"/>
  <c r="AK8" i="3" s="1"/>
  <c r="AJ9" i="3"/>
  <c r="AK9" i="3" s="1"/>
  <c r="AJ10" i="3"/>
  <c r="AK10" i="3" s="1"/>
  <c r="AJ11" i="3"/>
  <c r="AK11" i="3" s="1"/>
  <c r="AJ12" i="3"/>
  <c r="AK12" i="3" s="1"/>
  <c r="AJ13" i="3"/>
  <c r="AK13" i="3" s="1"/>
  <c r="AJ14" i="3"/>
  <c r="AK14" i="3" s="1"/>
  <c r="AJ15" i="3"/>
  <c r="AK15" i="3" s="1"/>
  <c r="AL3" i="3"/>
  <c r="AM3" i="3" s="1"/>
  <c r="AJ3" i="3"/>
  <c r="AK3" i="3" s="1"/>
  <c r="N3" i="3"/>
  <c r="AB3" i="3" s="1"/>
  <c r="M13" i="3"/>
  <c r="AA13" i="3" s="1"/>
  <c r="M6" i="3"/>
  <c r="AA6" i="3" s="1"/>
  <c r="AR4" i="3"/>
  <c r="AR5" i="3"/>
  <c r="AR6" i="3"/>
  <c r="AR7" i="3"/>
  <c r="AR8" i="3"/>
  <c r="AR9" i="3"/>
  <c r="AR10" i="3"/>
  <c r="AR11" i="3"/>
  <c r="AR12" i="3"/>
  <c r="AR13" i="3"/>
  <c r="AR14" i="3"/>
  <c r="AR15" i="3"/>
  <c r="AR3" i="3"/>
  <c r="AQ4" i="3"/>
  <c r="S4" i="3" s="1"/>
  <c r="AQ5" i="3"/>
  <c r="S5" i="3" s="1"/>
  <c r="AQ6" i="3"/>
  <c r="S6" i="3" s="1"/>
  <c r="AQ7" i="3"/>
  <c r="S7" i="3" s="1"/>
  <c r="AQ8" i="3"/>
  <c r="S8" i="3" s="1"/>
  <c r="AQ9" i="3"/>
  <c r="S9" i="3" s="1"/>
  <c r="AQ10" i="3"/>
  <c r="S10" i="3" s="1"/>
  <c r="AQ11" i="3"/>
  <c r="S11" i="3" s="1"/>
  <c r="AQ12" i="3"/>
  <c r="S12" i="3" s="1"/>
  <c r="AQ13" i="3"/>
  <c r="S13" i="3" s="1"/>
  <c r="AQ14" i="3"/>
  <c r="S14" i="3" s="1"/>
  <c r="AQ15" i="3"/>
  <c r="S15" i="3" s="1"/>
  <c r="AQ3" i="3"/>
  <c r="S3" i="3" s="1"/>
  <c r="B60" i="2"/>
  <c r="C58" i="2"/>
  <c r="B58" i="2"/>
  <c r="D56" i="2"/>
  <c r="C56" i="2"/>
  <c r="B56" i="2"/>
  <c r="E54" i="2"/>
  <c r="D54" i="2"/>
  <c r="C54" i="2"/>
  <c r="B54" i="2"/>
  <c r="F52" i="2"/>
  <c r="E52" i="2"/>
  <c r="D52" i="2"/>
  <c r="C52" i="2"/>
  <c r="B52" i="2"/>
  <c r="G50" i="2"/>
  <c r="F50" i="2"/>
  <c r="E50" i="2"/>
  <c r="D50" i="2"/>
  <c r="C50" i="2"/>
  <c r="B50" i="2"/>
  <c r="H48" i="2"/>
  <c r="G48" i="2"/>
  <c r="F48" i="2"/>
  <c r="E48" i="2"/>
  <c r="D48" i="2"/>
  <c r="C48" i="2"/>
  <c r="B48" i="2"/>
  <c r="I46" i="2"/>
  <c r="H46" i="2"/>
  <c r="G46" i="2"/>
  <c r="F46" i="2"/>
  <c r="E46" i="2"/>
  <c r="D46" i="2"/>
  <c r="C46" i="2"/>
  <c r="B46" i="2"/>
  <c r="J44" i="2"/>
  <c r="I44" i="2"/>
  <c r="H44" i="2"/>
  <c r="G44" i="2"/>
  <c r="F44" i="2"/>
  <c r="E44" i="2"/>
  <c r="D44" i="2"/>
  <c r="C44" i="2"/>
  <c r="B44" i="2"/>
  <c r="K42" i="2"/>
  <c r="J42" i="2"/>
  <c r="I42" i="2"/>
  <c r="H42" i="2"/>
  <c r="G42" i="2"/>
  <c r="F42" i="2"/>
  <c r="E42" i="2"/>
  <c r="D42" i="2"/>
  <c r="C42" i="2"/>
  <c r="B42" i="2"/>
  <c r="L40" i="2"/>
  <c r="K40" i="2"/>
  <c r="J40" i="2"/>
  <c r="I40" i="2"/>
  <c r="H40" i="2"/>
  <c r="G40" i="2"/>
  <c r="F40" i="2"/>
  <c r="E40" i="2"/>
  <c r="D40" i="2"/>
  <c r="C40" i="2"/>
  <c r="B40" i="2"/>
  <c r="M38" i="2"/>
  <c r="L38" i="2"/>
  <c r="K38" i="2"/>
  <c r="J38" i="2"/>
  <c r="I38" i="2"/>
  <c r="H38" i="2"/>
  <c r="G38" i="2"/>
  <c r="F38" i="2"/>
  <c r="E38" i="2"/>
  <c r="D38" i="2"/>
  <c r="C38" i="2"/>
  <c r="B38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N37" i="2" s="1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C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15" i="4"/>
  <c r="C15" i="4"/>
  <c r="B5" i="4"/>
  <c r="D5" i="4" s="1"/>
  <c r="C5" i="4"/>
  <c r="B7" i="4"/>
  <c r="D7" i="4" s="1"/>
  <c r="E7" i="4" s="1"/>
  <c r="C7" i="4"/>
  <c r="B9" i="4"/>
  <c r="D9" i="4" s="1"/>
  <c r="C9" i="4"/>
  <c r="B11" i="4"/>
  <c r="D11" i="4" s="1"/>
  <c r="C11" i="4"/>
  <c r="B13" i="4"/>
  <c r="D13" i="4" s="1"/>
  <c r="C13" i="4"/>
  <c r="C3" i="4"/>
  <c r="B3" i="4"/>
  <c r="D3" i="4" s="1"/>
  <c r="E3" i="4" s="1"/>
  <c r="D49" i="2" l="1"/>
  <c r="D55" i="2"/>
  <c r="C33" i="2"/>
  <c r="G33" i="2"/>
  <c r="Y11" i="2"/>
  <c r="D19" i="2"/>
  <c r="L19" i="2"/>
  <c r="P21" i="2"/>
  <c r="K33" i="2"/>
  <c r="D57" i="2"/>
  <c r="C29" i="2"/>
  <c r="G29" i="2"/>
  <c r="M33" i="2"/>
  <c r="T19" i="2"/>
  <c r="I25" i="2"/>
  <c r="O33" i="2"/>
  <c r="C19" i="2"/>
  <c r="C35" i="2"/>
  <c r="D17" i="2"/>
  <c r="H17" i="2"/>
  <c r="X5" i="2"/>
  <c r="L17" i="2"/>
  <c r="T17" i="2"/>
  <c r="E19" i="2"/>
  <c r="C3" i="2"/>
  <c r="F21" i="2"/>
  <c r="G7" i="2"/>
  <c r="K7" i="2"/>
  <c r="O7" i="2"/>
  <c r="S7" i="2"/>
  <c r="W7" i="2"/>
  <c r="AA7" i="2"/>
  <c r="S3" i="2"/>
  <c r="C7" i="2"/>
  <c r="D3" i="2"/>
  <c r="H3" i="2"/>
  <c r="L3" i="2"/>
  <c r="T3" i="2"/>
  <c r="X3" i="2"/>
  <c r="AB3" i="2"/>
  <c r="C25" i="2"/>
  <c r="G25" i="2"/>
  <c r="C41" i="2"/>
  <c r="C57" i="2"/>
  <c r="C59" i="2"/>
  <c r="G19" i="2"/>
  <c r="K19" i="2"/>
  <c r="D25" i="2"/>
  <c r="L25" i="2"/>
  <c r="T25" i="2"/>
  <c r="G35" i="2"/>
  <c r="D41" i="2"/>
  <c r="H41" i="2"/>
  <c r="L7" i="2"/>
  <c r="T7" i="2"/>
  <c r="P13" i="2"/>
  <c r="I19" i="2"/>
  <c r="M25" i="2"/>
  <c r="C27" i="2"/>
  <c r="G27" i="2"/>
  <c r="D33" i="2"/>
  <c r="L33" i="2"/>
  <c r="E35" i="2"/>
  <c r="C37" i="2"/>
  <c r="C43" i="2"/>
  <c r="H49" i="2"/>
  <c r="E51" i="2"/>
  <c r="P15" i="2"/>
  <c r="K25" i="2"/>
  <c r="L27" i="2"/>
  <c r="D37" i="2"/>
  <c r="H37" i="2"/>
  <c r="L37" i="2"/>
  <c r="G41" i="2"/>
  <c r="K41" i="2"/>
  <c r="D43" i="2"/>
  <c r="J11" i="2"/>
  <c r="R11" i="2"/>
  <c r="K35" i="2"/>
  <c r="O35" i="2"/>
  <c r="E37" i="2"/>
  <c r="L41" i="2"/>
  <c r="E43" i="2"/>
  <c r="C51" i="2"/>
  <c r="N11" i="2"/>
  <c r="N21" i="2"/>
  <c r="J9" i="2"/>
  <c r="R9" i="2"/>
  <c r="Z9" i="2"/>
  <c r="C11" i="2"/>
  <c r="G11" i="2"/>
  <c r="K11" i="2"/>
  <c r="O11" i="2"/>
  <c r="S11" i="2"/>
  <c r="W11" i="2"/>
  <c r="AA11" i="2"/>
  <c r="C13" i="2"/>
  <c r="G13" i="2"/>
  <c r="K13" i="2"/>
  <c r="O13" i="2"/>
  <c r="S13" i="2"/>
  <c r="W13" i="2"/>
  <c r="C21" i="2"/>
  <c r="G21" i="2"/>
  <c r="K21" i="2"/>
  <c r="O21" i="2"/>
  <c r="S21" i="2"/>
  <c r="D27" i="2"/>
  <c r="F11" i="2"/>
  <c r="V21" i="2"/>
  <c r="AC3" i="2"/>
  <c r="T5" i="2"/>
  <c r="N5" i="2"/>
  <c r="V5" i="2"/>
  <c r="AD5" i="2"/>
  <c r="D11" i="2"/>
  <c r="H11" i="2"/>
  <c r="L11" i="2"/>
  <c r="T11" i="2"/>
  <c r="X11" i="2"/>
  <c r="C17" i="2"/>
  <c r="G17" i="2"/>
  <c r="E27" i="2"/>
  <c r="I27" i="2"/>
  <c r="M27" i="2"/>
  <c r="Q27" i="2"/>
  <c r="I35" i="2"/>
  <c r="M35" i="2"/>
  <c r="I43" i="2"/>
  <c r="G3" i="2"/>
  <c r="K3" i="2"/>
  <c r="O3" i="2"/>
  <c r="W3" i="2"/>
  <c r="AA3" i="2"/>
  <c r="AE3" i="2"/>
  <c r="P7" i="2"/>
  <c r="J7" i="2"/>
  <c r="R7" i="2"/>
  <c r="P17" i="2"/>
  <c r="X17" i="2"/>
  <c r="O19" i="2"/>
  <c r="S19" i="2"/>
  <c r="W19" i="2"/>
  <c r="O25" i="2"/>
  <c r="S25" i="2"/>
  <c r="K29" i="2"/>
  <c r="O29" i="2"/>
  <c r="G37" i="2"/>
  <c r="K37" i="2"/>
  <c r="I41" i="2"/>
  <c r="G51" i="2"/>
  <c r="F5" i="2"/>
  <c r="R5" i="2"/>
  <c r="N9" i="2"/>
  <c r="J45" i="2"/>
  <c r="C5" i="2"/>
  <c r="G5" i="2"/>
  <c r="K5" i="2"/>
  <c r="O5" i="2"/>
  <c r="W5" i="2"/>
  <c r="AA5" i="2"/>
  <c r="E11" i="2"/>
  <c r="I11" i="2"/>
  <c r="M11" i="2"/>
  <c r="Q11" i="2"/>
  <c r="U11" i="2"/>
  <c r="U17" i="2"/>
  <c r="M19" i="2"/>
  <c r="Q19" i="2"/>
  <c r="U19" i="2"/>
  <c r="D21" i="2"/>
  <c r="H21" i="2"/>
  <c r="L21" i="2"/>
  <c r="T21" i="2"/>
  <c r="P27" i="2"/>
  <c r="E29" i="2"/>
  <c r="I29" i="2"/>
  <c r="M29" i="2"/>
  <c r="Q29" i="2"/>
  <c r="P33" i="2"/>
  <c r="I37" i="2"/>
  <c r="M37" i="2"/>
  <c r="H43" i="2"/>
  <c r="C45" i="2"/>
  <c r="G45" i="2"/>
  <c r="E49" i="2"/>
  <c r="C53" i="2"/>
  <c r="K15" i="2"/>
  <c r="F45" i="2"/>
  <c r="F53" i="2"/>
  <c r="F3" i="2"/>
  <c r="J3" i="2"/>
  <c r="N3" i="2"/>
  <c r="R3" i="2"/>
  <c r="V3" i="2"/>
  <c r="Z3" i="2"/>
  <c r="AD3" i="2"/>
  <c r="D5" i="2"/>
  <c r="H5" i="2"/>
  <c r="L5" i="2"/>
  <c r="AB5" i="2"/>
  <c r="P5" i="2"/>
  <c r="E7" i="2"/>
  <c r="I7" i="2"/>
  <c r="M7" i="2"/>
  <c r="Q7" i="2"/>
  <c r="U7" i="2"/>
  <c r="Y7" i="2"/>
  <c r="AB7" i="2"/>
  <c r="D9" i="2"/>
  <c r="H9" i="2"/>
  <c r="L9" i="2"/>
  <c r="T9" i="2"/>
  <c r="X9" i="2"/>
  <c r="AB9" i="2"/>
  <c r="P11" i="2"/>
  <c r="E13" i="2"/>
  <c r="I13" i="2"/>
  <c r="M13" i="2"/>
  <c r="Q13" i="2"/>
  <c r="U13" i="2"/>
  <c r="Y13" i="2"/>
  <c r="D15" i="2"/>
  <c r="H15" i="2"/>
  <c r="L15" i="2"/>
  <c r="T15" i="2"/>
  <c r="X15" i="2"/>
  <c r="K17" i="2"/>
  <c r="O17" i="2"/>
  <c r="S17" i="2"/>
  <c r="W17" i="2"/>
  <c r="P19" i="2"/>
  <c r="E21" i="2"/>
  <c r="I21" i="2"/>
  <c r="M21" i="2"/>
  <c r="Q21" i="2"/>
  <c r="U21" i="2"/>
  <c r="P25" i="2"/>
  <c r="K27" i="2"/>
  <c r="O27" i="2"/>
  <c r="S27" i="2"/>
  <c r="P29" i="2"/>
  <c r="F29" i="2"/>
  <c r="J29" i="2"/>
  <c r="N29" i="2"/>
  <c r="R29" i="2"/>
  <c r="L35" i="2"/>
  <c r="J37" i="2"/>
  <c r="G43" i="2"/>
  <c r="K43" i="2"/>
  <c r="C49" i="2"/>
  <c r="G49" i="2"/>
  <c r="D51" i="2"/>
  <c r="J5" i="2"/>
  <c r="Z5" i="2"/>
  <c r="F9" i="2"/>
  <c r="V9" i="2"/>
  <c r="E5" i="2"/>
  <c r="I5" i="2"/>
  <c r="M5" i="2"/>
  <c r="Q5" i="2"/>
  <c r="U5" i="2"/>
  <c r="Y5" i="2"/>
  <c r="AC5" i="2"/>
  <c r="S5" i="2"/>
  <c r="F7" i="2"/>
  <c r="N7" i="2"/>
  <c r="V7" i="2"/>
  <c r="D7" i="2"/>
  <c r="F13" i="2"/>
  <c r="J13" i="2"/>
  <c r="N13" i="2"/>
  <c r="R13" i="2"/>
  <c r="V13" i="2"/>
  <c r="Z13" i="2"/>
  <c r="J21" i="2"/>
  <c r="R21" i="2"/>
  <c r="K23" i="2"/>
  <c r="H25" i="2"/>
  <c r="Q25" i="2"/>
  <c r="G31" i="2"/>
  <c r="H33" i="2"/>
  <c r="E45" i="2"/>
  <c r="I45" i="2"/>
  <c r="E53" i="2"/>
  <c r="J23" i="2"/>
  <c r="S23" i="2"/>
  <c r="F31" i="2"/>
  <c r="C31" i="2"/>
  <c r="L39" i="2"/>
  <c r="H39" i="2"/>
  <c r="D39" i="2"/>
  <c r="G39" i="2"/>
  <c r="C39" i="2"/>
  <c r="P3" i="2"/>
  <c r="H7" i="2"/>
  <c r="X7" i="2"/>
  <c r="O15" i="2"/>
  <c r="G23" i="2"/>
  <c r="K39" i="2"/>
  <c r="F23" i="2"/>
  <c r="R23" i="2"/>
  <c r="P31" i="2"/>
  <c r="L31" i="2"/>
  <c r="H31" i="2"/>
  <c r="D31" i="2"/>
  <c r="N31" i="2"/>
  <c r="J39" i="2"/>
  <c r="E3" i="2"/>
  <c r="I3" i="2"/>
  <c r="M3" i="2"/>
  <c r="Q3" i="2"/>
  <c r="U3" i="2"/>
  <c r="Y3" i="2"/>
  <c r="Z7" i="2"/>
  <c r="Y9" i="2"/>
  <c r="U9" i="2"/>
  <c r="Q9" i="2"/>
  <c r="M9" i="2"/>
  <c r="I9" i="2"/>
  <c r="E9" i="2"/>
  <c r="F15" i="2"/>
  <c r="J15" i="2"/>
  <c r="N15" i="2"/>
  <c r="R15" i="2"/>
  <c r="V15" i="2"/>
  <c r="C15" i="2"/>
  <c r="S15" i="2"/>
  <c r="D23" i="2"/>
  <c r="H23" i="2"/>
  <c r="L23" i="2"/>
  <c r="K31" i="2"/>
  <c r="H47" i="2"/>
  <c r="D47" i="2"/>
  <c r="G47" i="2"/>
  <c r="F47" i="2"/>
  <c r="C47" i="2"/>
  <c r="T23" i="2"/>
  <c r="P23" i="2"/>
  <c r="N23" i="2"/>
  <c r="C23" i="2"/>
  <c r="J31" i="2"/>
  <c r="F39" i="2"/>
  <c r="C55" i="2"/>
  <c r="C9" i="2"/>
  <c r="G9" i="2"/>
  <c r="K9" i="2"/>
  <c r="O9" i="2"/>
  <c r="S9" i="2"/>
  <c r="W9" i="2"/>
  <c r="AA9" i="2"/>
  <c r="P9" i="2"/>
  <c r="G15" i="2"/>
  <c r="W15" i="2"/>
  <c r="O23" i="2"/>
  <c r="O31" i="2"/>
  <c r="D13" i="2"/>
  <c r="H13" i="2"/>
  <c r="L13" i="2"/>
  <c r="T13" i="2"/>
  <c r="X13" i="2"/>
  <c r="I17" i="2"/>
  <c r="Q17" i="2"/>
  <c r="F19" i="2"/>
  <c r="J19" i="2"/>
  <c r="N19" i="2"/>
  <c r="R19" i="2"/>
  <c r="V19" i="2"/>
  <c r="H19" i="2"/>
  <c r="F25" i="2"/>
  <c r="J25" i="2"/>
  <c r="N25" i="2"/>
  <c r="R25" i="2"/>
  <c r="E25" i="2"/>
  <c r="F27" i="2"/>
  <c r="J27" i="2"/>
  <c r="N27" i="2"/>
  <c r="R27" i="2"/>
  <c r="H27" i="2"/>
  <c r="D29" i="2"/>
  <c r="H29" i="2"/>
  <c r="L29" i="2"/>
  <c r="I33" i="2"/>
  <c r="F35" i="2"/>
  <c r="J35" i="2"/>
  <c r="N35" i="2"/>
  <c r="H35" i="2"/>
  <c r="F41" i="2"/>
  <c r="J41" i="2"/>
  <c r="E41" i="2"/>
  <c r="F43" i="2"/>
  <c r="J43" i="2"/>
  <c r="D45" i="2"/>
  <c r="H45" i="2"/>
  <c r="F51" i="2"/>
  <c r="V11" i="2"/>
  <c r="Z11" i="2"/>
  <c r="E15" i="2"/>
  <c r="I15" i="2"/>
  <c r="M15" i="2"/>
  <c r="Q15" i="2"/>
  <c r="U15" i="2"/>
  <c r="Y15" i="2"/>
  <c r="F17" i="2"/>
  <c r="J17" i="2"/>
  <c r="N17" i="2"/>
  <c r="R17" i="2"/>
  <c r="V17" i="2"/>
  <c r="E17" i="2"/>
  <c r="M17" i="2"/>
  <c r="E23" i="2"/>
  <c r="I23" i="2"/>
  <c r="M23" i="2"/>
  <c r="Q23" i="2"/>
  <c r="U23" i="2"/>
  <c r="E31" i="2"/>
  <c r="I31" i="2"/>
  <c r="M31" i="2"/>
  <c r="Q31" i="2"/>
  <c r="F33" i="2"/>
  <c r="J33" i="2"/>
  <c r="N33" i="2"/>
  <c r="E33" i="2"/>
  <c r="D35" i="2"/>
  <c r="F37" i="2"/>
  <c r="E39" i="2"/>
  <c r="I39" i="2"/>
  <c r="M39" i="2"/>
  <c r="E47" i="2"/>
  <c r="I47" i="2"/>
  <c r="F49" i="2"/>
  <c r="D53" i="2"/>
  <c r="E55" i="2"/>
  <c r="N3" i="4"/>
  <c r="N4" i="4" s="1"/>
  <c r="L5" i="4"/>
  <c r="L3" i="4"/>
  <c r="L4" i="4" s="1"/>
  <c r="J7" i="4"/>
  <c r="K7" i="4" s="1"/>
  <c r="J5" i="4"/>
  <c r="H9" i="4"/>
  <c r="J3" i="4"/>
  <c r="J4" i="4" s="1"/>
  <c r="H7" i="4"/>
  <c r="H5" i="4"/>
  <c r="H3" i="4"/>
  <c r="H4" i="4" s="1"/>
  <c r="F7" i="4"/>
  <c r="G7" i="4" s="1"/>
  <c r="F9" i="4"/>
  <c r="F11" i="4"/>
  <c r="F5" i="4"/>
  <c r="F3" i="4"/>
  <c r="D12" i="4"/>
  <c r="E11" i="4"/>
  <c r="D10" i="4"/>
  <c r="E9" i="4"/>
  <c r="E5" i="4"/>
  <c r="D6" i="4"/>
  <c r="E13" i="4"/>
  <c r="D14" i="4"/>
  <c r="D8" i="4"/>
  <c r="D4" i="4"/>
  <c r="AN4" i="3"/>
  <c r="AN5" i="3"/>
  <c r="AN6" i="3"/>
  <c r="AN7" i="3"/>
  <c r="AN8" i="3"/>
  <c r="AN9" i="3"/>
  <c r="AN10" i="3"/>
  <c r="AN11" i="3"/>
  <c r="AN12" i="3"/>
  <c r="AN13" i="3"/>
  <c r="AN14" i="3"/>
  <c r="AN15" i="3"/>
  <c r="AN3" i="3"/>
  <c r="L4" i="3"/>
  <c r="Z4" i="3" s="1"/>
  <c r="L5" i="3"/>
  <c r="Z5" i="3" s="1"/>
  <c r="L6" i="3"/>
  <c r="Z6" i="3" s="1"/>
  <c r="L7" i="3"/>
  <c r="Z7" i="3" s="1"/>
  <c r="L8" i="3"/>
  <c r="Z8" i="3" s="1"/>
  <c r="L9" i="3"/>
  <c r="Z9" i="3" s="1"/>
  <c r="L10" i="3"/>
  <c r="Z10" i="3" s="1"/>
  <c r="L11" i="3"/>
  <c r="Z11" i="3" s="1"/>
  <c r="L12" i="3"/>
  <c r="Z12" i="3" s="1"/>
  <c r="L13" i="3"/>
  <c r="Z13" i="3" s="1"/>
  <c r="L14" i="3"/>
  <c r="Z14" i="3" s="1"/>
  <c r="L15" i="3"/>
  <c r="Z15" i="3" s="1"/>
  <c r="L3" i="3"/>
  <c r="Z3" i="3" s="1"/>
  <c r="AH4" i="3"/>
  <c r="AH5" i="3"/>
  <c r="AH6" i="3"/>
  <c r="AH7" i="3"/>
  <c r="AH8" i="3"/>
  <c r="AH9" i="3"/>
  <c r="AH10" i="3"/>
  <c r="AH11" i="3"/>
  <c r="AH12" i="3"/>
  <c r="AH13" i="3"/>
  <c r="AH14" i="3"/>
  <c r="AH15" i="3"/>
  <c r="AH3" i="3"/>
  <c r="AF15" i="3"/>
  <c r="AG15" i="3" s="1"/>
  <c r="AF14" i="3"/>
  <c r="AG14" i="3" s="1"/>
  <c r="AF13" i="3"/>
  <c r="AG13" i="3" s="1"/>
  <c r="AF12" i="3"/>
  <c r="AG12" i="3" s="1"/>
  <c r="AF11" i="3"/>
  <c r="AG11" i="3" s="1"/>
  <c r="AF10" i="3"/>
  <c r="AG10" i="3" s="1"/>
  <c r="AG9" i="3"/>
  <c r="AF8" i="3"/>
  <c r="AG8" i="3" s="1"/>
  <c r="AF7" i="3"/>
  <c r="AG7" i="3" s="1"/>
  <c r="AF6" i="3"/>
  <c r="AG6" i="3" s="1"/>
  <c r="AF5" i="3"/>
  <c r="AG5" i="3" s="1"/>
  <c r="AF4" i="3"/>
  <c r="AG4" i="3" s="1"/>
  <c r="AF3" i="3"/>
  <c r="AG3" i="3" s="1"/>
  <c r="X13" i="3"/>
  <c r="X6" i="3"/>
  <c r="W4" i="3"/>
  <c r="W5" i="3"/>
  <c r="W6" i="3"/>
  <c r="W7" i="3"/>
  <c r="W8" i="3"/>
  <c r="W9" i="3"/>
  <c r="W10" i="3"/>
  <c r="W11" i="3"/>
  <c r="W12" i="3"/>
  <c r="W13" i="3"/>
  <c r="W14" i="3"/>
  <c r="W15" i="3"/>
  <c r="W3" i="3"/>
  <c r="Y3" i="3"/>
  <c r="AE3" i="3"/>
  <c r="AD13" i="3"/>
  <c r="AD6" i="3"/>
  <c r="AC4" i="3"/>
  <c r="AC5" i="3"/>
  <c r="AC6" i="3"/>
  <c r="AC7" i="3"/>
  <c r="AC8" i="3"/>
  <c r="AC9" i="3"/>
  <c r="AC10" i="3"/>
  <c r="AC11" i="3"/>
  <c r="AC12" i="3"/>
  <c r="AC13" i="3"/>
  <c r="AC14" i="3"/>
  <c r="AC15" i="3"/>
  <c r="AC3" i="3"/>
  <c r="U6" i="3"/>
  <c r="U13" i="3"/>
  <c r="V3" i="3"/>
  <c r="T4" i="3"/>
  <c r="T5" i="3"/>
  <c r="T6" i="3"/>
  <c r="T7" i="3"/>
  <c r="T8" i="3"/>
  <c r="T9" i="3"/>
  <c r="T10" i="3"/>
  <c r="T11" i="3"/>
  <c r="T12" i="3"/>
  <c r="T13" i="3"/>
  <c r="T14" i="3"/>
  <c r="T15" i="3"/>
  <c r="T3" i="3"/>
  <c r="AI11" i="3" l="1"/>
  <c r="AI14" i="3"/>
  <c r="AI10" i="3"/>
  <c r="AI6" i="3"/>
  <c r="AI13" i="3"/>
  <c r="AI9" i="3"/>
  <c r="AI5" i="3"/>
  <c r="AI15" i="3"/>
  <c r="AI7" i="3"/>
  <c r="AI12" i="3"/>
  <c r="AI8" i="3"/>
  <c r="AI4" i="3"/>
  <c r="AI3" i="3"/>
  <c r="O3" i="4"/>
  <c r="M5" i="4"/>
  <c r="L6" i="4"/>
  <c r="M3" i="4"/>
  <c r="J8" i="4"/>
  <c r="K5" i="4"/>
  <c r="J6" i="4"/>
  <c r="K3" i="4"/>
  <c r="H10" i="4"/>
  <c r="I9" i="4"/>
  <c r="H6" i="4"/>
  <c r="I5" i="4"/>
  <c r="I7" i="4"/>
  <c r="H8" i="4"/>
  <c r="I3" i="4"/>
  <c r="F8" i="4"/>
  <c r="G11" i="4"/>
  <c r="F12" i="4"/>
  <c r="G5" i="4"/>
  <c r="F6" i="4"/>
  <c r="F10" i="4"/>
  <c r="G9" i="4"/>
  <c r="G3" i="4"/>
  <c r="F4" i="4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2" i="13"/>
  <c r="J3" i="13"/>
  <c r="K3" i="13" s="1"/>
  <c r="J4" i="13"/>
  <c r="K4" i="13" s="1"/>
  <c r="J5" i="13"/>
  <c r="K5" i="13" s="1"/>
  <c r="J6" i="13"/>
  <c r="K6" i="13" s="1"/>
  <c r="J7" i="13"/>
  <c r="K7" i="13" s="1"/>
  <c r="J8" i="13"/>
  <c r="K8" i="13" s="1"/>
  <c r="J9" i="13"/>
  <c r="K9" i="13" s="1"/>
  <c r="J10" i="13"/>
  <c r="K10" i="13" s="1"/>
  <c r="J11" i="13"/>
  <c r="K11" i="13" s="1"/>
  <c r="J12" i="13"/>
  <c r="K12" i="13" s="1"/>
  <c r="J13" i="13"/>
  <c r="K13" i="13" s="1"/>
  <c r="J14" i="13"/>
  <c r="K14" i="13" s="1"/>
  <c r="J15" i="13"/>
  <c r="K15" i="13" s="1"/>
  <c r="J16" i="13"/>
  <c r="K16" i="13" s="1"/>
  <c r="J17" i="13"/>
  <c r="K17" i="13" s="1"/>
  <c r="J18" i="13"/>
  <c r="K18" i="13" s="1"/>
  <c r="J19" i="13"/>
  <c r="K19" i="13" s="1"/>
  <c r="J20" i="13"/>
  <c r="K20" i="13" s="1"/>
  <c r="J21" i="13"/>
  <c r="K21" i="13" s="1"/>
  <c r="J22" i="13"/>
  <c r="K22" i="13" s="1"/>
  <c r="J23" i="13"/>
  <c r="K23" i="13" s="1"/>
  <c r="J24" i="13"/>
  <c r="K24" i="13" s="1"/>
  <c r="J25" i="13"/>
  <c r="K25" i="13" s="1"/>
  <c r="J26" i="13"/>
  <c r="K26" i="13" s="1"/>
  <c r="J27" i="13"/>
  <c r="K27" i="13" s="1"/>
  <c r="J28" i="13"/>
  <c r="K28" i="13" s="1"/>
  <c r="J29" i="13"/>
  <c r="K29" i="13" s="1"/>
  <c r="J30" i="13"/>
  <c r="K30" i="13" s="1"/>
  <c r="J31" i="13"/>
  <c r="K31" i="13" s="1"/>
  <c r="J32" i="13"/>
  <c r="K32" i="13" s="1"/>
  <c r="J33" i="13"/>
  <c r="K33" i="13" s="1"/>
  <c r="J34" i="13"/>
  <c r="K34" i="13" s="1"/>
  <c r="J35" i="13"/>
  <c r="K35" i="13" s="1"/>
  <c r="J36" i="13"/>
  <c r="K36" i="13" s="1"/>
  <c r="J37" i="13"/>
  <c r="K37" i="13" s="1"/>
  <c r="J38" i="13"/>
  <c r="K38" i="13" s="1"/>
  <c r="J39" i="13"/>
  <c r="K39" i="13" s="1"/>
  <c r="J40" i="13"/>
  <c r="K40" i="13" s="1"/>
  <c r="J41" i="13"/>
  <c r="K41" i="13" s="1"/>
  <c r="J42" i="13"/>
  <c r="K42" i="13" s="1"/>
  <c r="J43" i="13"/>
  <c r="K43" i="13" s="1"/>
  <c r="J44" i="13"/>
  <c r="K44" i="13" s="1"/>
  <c r="J45" i="13"/>
  <c r="K45" i="13" s="1"/>
  <c r="J46" i="13"/>
  <c r="K46" i="13" s="1"/>
  <c r="J47" i="13"/>
  <c r="K47" i="13" s="1"/>
  <c r="J48" i="13"/>
  <c r="K48" i="13" s="1"/>
  <c r="J49" i="13"/>
  <c r="K49" i="13" s="1"/>
  <c r="J50" i="13"/>
  <c r="K50" i="13" s="1"/>
  <c r="J51" i="13"/>
  <c r="K51" i="13" s="1"/>
  <c r="J52" i="13"/>
  <c r="K52" i="13" s="1"/>
  <c r="J53" i="13"/>
  <c r="K53" i="13" s="1"/>
  <c r="J54" i="13"/>
  <c r="K54" i="13" s="1"/>
  <c r="J55" i="13"/>
  <c r="K55" i="13" s="1"/>
  <c r="J56" i="13"/>
  <c r="K56" i="13" s="1"/>
  <c r="J57" i="13"/>
  <c r="K57" i="13" s="1"/>
  <c r="J58" i="13"/>
  <c r="K58" i="13" s="1"/>
  <c r="J59" i="13"/>
  <c r="K59" i="13" s="1"/>
  <c r="J60" i="13"/>
  <c r="K60" i="13" s="1"/>
  <c r="J61" i="13"/>
  <c r="K61" i="13" s="1"/>
  <c r="J2" i="13"/>
  <c r="K2" i="13" s="1"/>
  <c r="G3" i="13"/>
  <c r="H3" i="13" s="1"/>
  <c r="I3" i="13" s="1"/>
  <c r="G4" i="13"/>
  <c r="H4" i="13" s="1"/>
  <c r="I4" i="13" s="1"/>
  <c r="G5" i="13"/>
  <c r="H5" i="13" s="1"/>
  <c r="I5" i="13" s="1"/>
  <c r="G6" i="13"/>
  <c r="H6" i="13" s="1"/>
  <c r="I6" i="13" s="1"/>
  <c r="G7" i="13"/>
  <c r="H7" i="13" s="1"/>
  <c r="I7" i="13" s="1"/>
  <c r="G8" i="13"/>
  <c r="H8" i="13" s="1"/>
  <c r="I8" i="13" s="1"/>
  <c r="G9" i="13"/>
  <c r="H9" i="13" s="1"/>
  <c r="I9" i="13" s="1"/>
  <c r="G10" i="13"/>
  <c r="H10" i="13" s="1"/>
  <c r="I10" i="13" s="1"/>
  <c r="G11" i="13"/>
  <c r="H11" i="13" s="1"/>
  <c r="I11" i="13" s="1"/>
  <c r="G12" i="13"/>
  <c r="H12" i="13" s="1"/>
  <c r="I12" i="13" s="1"/>
  <c r="G13" i="13"/>
  <c r="H13" i="13" s="1"/>
  <c r="I13" i="13" s="1"/>
  <c r="G14" i="13"/>
  <c r="H14" i="13" s="1"/>
  <c r="I14" i="13" s="1"/>
  <c r="G15" i="13"/>
  <c r="H15" i="13" s="1"/>
  <c r="I15" i="13" s="1"/>
  <c r="G16" i="13"/>
  <c r="H16" i="13" s="1"/>
  <c r="I16" i="13" s="1"/>
  <c r="G17" i="13"/>
  <c r="H17" i="13" s="1"/>
  <c r="I17" i="13" s="1"/>
  <c r="G18" i="13"/>
  <c r="H18" i="13" s="1"/>
  <c r="I18" i="13" s="1"/>
  <c r="G19" i="13"/>
  <c r="H19" i="13" s="1"/>
  <c r="I19" i="13" s="1"/>
  <c r="G20" i="13"/>
  <c r="H20" i="13" s="1"/>
  <c r="I20" i="13" s="1"/>
  <c r="G21" i="13"/>
  <c r="H21" i="13" s="1"/>
  <c r="I21" i="13" s="1"/>
  <c r="G22" i="13"/>
  <c r="H22" i="13" s="1"/>
  <c r="I22" i="13" s="1"/>
  <c r="G23" i="13"/>
  <c r="H23" i="13" s="1"/>
  <c r="I23" i="13" s="1"/>
  <c r="G24" i="13"/>
  <c r="H24" i="13" s="1"/>
  <c r="I24" i="13" s="1"/>
  <c r="G25" i="13"/>
  <c r="H25" i="13" s="1"/>
  <c r="I25" i="13" s="1"/>
  <c r="G26" i="13"/>
  <c r="H26" i="13" s="1"/>
  <c r="I26" i="13" s="1"/>
  <c r="G27" i="13"/>
  <c r="H27" i="13" s="1"/>
  <c r="I27" i="13" s="1"/>
  <c r="G28" i="13"/>
  <c r="H28" i="13" s="1"/>
  <c r="I28" i="13" s="1"/>
  <c r="G29" i="13"/>
  <c r="H29" i="13" s="1"/>
  <c r="I29" i="13" s="1"/>
  <c r="G30" i="13"/>
  <c r="H30" i="13" s="1"/>
  <c r="I30" i="13" s="1"/>
  <c r="G31" i="13"/>
  <c r="H31" i="13" s="1"/>
  <c r="I31" i="13" s="1"/>
  <c r="G32" i="13"/>
  <c r="H32" i="13" s="1"/>
  <c r="I32" i="13" s="1"/>
  <c r="G33" i="13"/>
  <c r="H33" i="13" s="1"/>
  <c r="I33" i="13" s="1"/>
  <c r="G34" i="13"/>
  <c r="H34" i="13" s="1"/>
  <c r="I34" i="13" s="1"/>
  <c r="G35" i="13"/>
  <c r="H35" i="13" s="1"/>
  <c r="I35" i="13" s="1"/>
  <c r="G36" i="13"/>
  <c r="H36" i="13" s="1"/>
  <c r="I36" i="13" s="1"/>
  <c r="G37" i="13"/>
  <c r="H37" i="13" s="1"/>
  <c r="I37" i="13" s="1"/>
  <c r="G38" i="13"/>
  <c r="H38" i="13" s="1"/>
  <c r="I38" i="13" s="1"/>
  <c r="G39" i="13"/>
  <c r="H39" i="13" s="1"/>
  <c r="I39" i="13" s="1"/>
  <c r="G40" i="13"/>
  <c r="H40" i="13" s="1"/>
  <c r="I40" i="13" s="1"/>
  <c r="G41" i="13"/>
  <c r="H41" i="13" s="1"/>
  <c r="I41" i="13" s="1"/>
  <c r="G42" i="13"/>
  <c r="H42" i="13" s="1"/>
  <c r="I42" i="13" s="1"/>
  <c r="G43" i="13"/>
  <c r="H43" i="13" s="1"/>
  <c r="I43" i="13" s="1"/>
  <c r="G44" i="13"/>
  <c r="H44" i="13" s="1"/>
  <c r="I44" i="13" s="1"/>
  <c r="G45" i="13"/>
  <c r="H45" i="13" s="1"/>
  <c r="I45" i="13" s="1"/>
  <c r="G46" i="13"/>
  <c r="H46" i="13" s="1"/>
  <c r="I46" i="13" s="1"/>
  <c r="G47" i="13"/>
  <c r="H47" i="13" s="1"/>
  <c r="I47" i="13" s="1"/>
  <c r="G48" i="13"/>
  <c r="H48" i="13" s="1"/>
  <c r="I48" i="13" s="1"/>
  <c r="G49" i="13"/>
  <c r="H49" i="13" s="1"/>
  <c r="I49" i="13" s="1"/>
  <c r="G50" i="13"/>
  <c r="H50" i="13" s="1"/>
  <c r="I50" i="13" s="1"/>
  <c r="G51" i="13"/>
  <c r="H51" i="13" s="1"/>
  <c r="I51" i="13" s="1"/>
  <c r="G52" i="13"/>
  <c r="H52" i="13" s="1"/>
  <c r="I52" i="13" s="1"/>
  <c r="G53" i="13"/>
  <c r="H53" i="13" s="1"/>
  <c r="I53" i="13" s="1"/>
  <c r="G54" i="13"/>
  <c r="H54" i="13" s="1"/>
  <c r="I54" i="13" s="1"/>
  <c r="G55" i="13"/>
  <c r="H55" i="13" s="1"/>
  <c r="I55" i="13" s="1"/>
  <c r="G56" i="13"/>
  <c r="H56" i="13" s="1"/>
  <c r="I56" i="13" s="1"/>
  <c r="G57" i="13"/>
  <c r="H57" i="13" s="1"/>
  <c r="I57" i="13" s="1"/>
  <c r="G58" i="13"/>
  <c r="H58" i="13" s="1"/>
  <c r="I58" i="13" s="1"/>
  <c r="G59" i="13"/>
  <c r="H59" i="13" s="1"/>
  <c r="I59" i="13" s="1"/>
  <c r="G60" i="13"/>
  <c r="H60" i="13" s="1"/>
  <c r="I60" i="13" s="1"/>
  <c r="G61" i="13"/>
  <c r="H61" i="13" s="1"/>
  <c r="I61" i="13" s="1"/>
  <c r="G2" i="13"/>
  <c r="H2" i="13" s="1"/>
  <c r="I2" i="13" s="1"/>
  <c r="B3" i="13"/>
  <c r="C3" i="13" s="1"/>
  <c r="D3" i="13" s="1"/>
  <c r="F3" i="13" s="1"/>
  <c r="B4" i="13"/>
  <c r="C4" i="13" s="1"/>
  <c r="D4" i="13" s="1"/>
  <c r="F4" i="13" s="1"/>
  <c r="B5" i="13"/>
  <c r="C5" i="13" s="1"/>
  <c r="D5" i="13" s="1"/>
  <c r="F5" i="13" s="1"/>
  <c r="B6" i="13"/>
  <c r="C6" i="13" s="1"/>
  <c r="D6" i="13" s="1"/>
  <c r="F6" i="13" s="1"/>
  <c r="B7" i="13"/>
  <c r="C7" i="13" s="1"/>
  <c r="D7" i="13" s="1"/>
  <c r="F7" i="13" s="1"/>
  <c r="B8" i="13"/>
  <c r="C8" i="13" s="1"/>
  <c r="D8" i="13" s="1"/>
  <c r="F8" i="13" s="1"/>
  <c r="B9" i="13"/>
  <c r="C9" i="13" s="1"/>
  <c r="D9" i="13" s="1"/>
  <c r="F9" i="13" s="1"/>
  <c r="B10" i="13"/>
  <c r="C10" i="13" s="1"/>
  <c r="D10" i="13" s="1"/>
  <c r="F10" i="13" s="1"/>
  <c r="B11" i="13"/>
  <c r="C11" i="13" s="1"/>
  <c r="D11" i="13" s="1"/>
  <c r="F11" i="13" s="1"/>
  <c r="B12" i="13"/>
  <c r="C12" i="13" s="1"/>
  <c r="D12" i="13" s="1"/>
  <c r="F12" i="13" s="1"/>
  <c r="B13" i="13"/>
  <c r="C13" i="13" s="1"/>
  <c r="D13" i="13" s="1"/>
  <c r="F13" i="13" s="1"/>
  <c r="B14" i="13"/>
  <c r="C14" i="13" s="1"/>
  <c r="D14" i="13" s="1"/>
  <c r="F14" i="13" s="1"/>
  <c r="B15" i="13"/>
  <c r="C15" i="13" s="1"/>
  <c r="D15" i="13" s="1"/>
  <c r="F15" i="13" s="1"/>
  <c r="B16" i="13"/>
  <c r="C16" i="13" s="1"/>
  <c r="D16" i="13" s="1"/>
  <c r="F16" i="13" s="1"/>
  <c r="B17" i="13"/>
  <c r="C17" i="13" s="1"/>
  <c r="D17" i="13" s="1"/>
  <c r="F17" i="13" s="1"/>
  <c r="B18" i="13"/>
  <c r="C18" i="13" s="1"/>
  <c r="D18" i="13" s="1"/>
  <c r="F18" i="13" s="1"/>
  <c r="B19" i="13"/>
  <c r="C19" i="13" s="1"/>
  <c r="D19" i="13" s="1"/>
  <c r="F19" i="13" s="1"/>
  <c r="B20" i="13"/>
  <c r="C20" i="13" s="1"/>
  <c r="D20" i="13" s="1"/>
  <c r="F20" i="13" s="1"/>
  <c r="B21" i="13"/>
  <c r="C21" i="13" s="1"/>
  <c r="D21" i="13" s="1"/>
  <c r="F21" i="13" s="1"/>
  <c r="B22" i="13"/>
  <c r="C22" i="13" s="1"/>
  <c r="D22" i="13" s="1"/>
  <c r="F22" i="13" s="1"/>
  <c r="B23" i="13"/>
  <c r="C23" i="13" s="1"/>
  <c r="D23" i="13" s="1"/>
  <c r="F23" i="13" s="1"/>
  <c r="B24" i="13"/>
  <c r="C24" i="13" s="1"/>
  <c r="D24" i="13" s="1"/>
  <c r="F24" i="13" s="1"/>
  <c r="B25" i="13"/>
  <c r="C25" i="13" s="1"/>
  <c r="D25" i="13" s="1"/>
  <c r="F25" i="13" s="1"/>
  <c r="B26" i="13"/>
  <c r="C26" i="13" s="1"/>
  <c r="D26" i="13" s="1"/>
  <c r="F26" i="13" s="1"/>
  <c r="B27" i="13"/>
  <c r="C27" i="13" s="1"/>
  <c r="D27" i="13" s="1"/>
  <c r="F27" i="13" s="1"/>
  <c r="B28" i="13"/>
  <c r="C28" i="13" s="1"/>
  <c r="D28" i="13" s="1"/>
  <c r="F28" i="13" s="1"/>
  <c r="B29" i="13"/>
  <c r="C29" i="13" s="1"/>
  <c r="D29" i="13" s="1"/>
  <c r="F29" i="13" s="1"/>
  <c r="B30" i="13"/>
  <c r="C30" i="13" s="1"/>
  <c r="D30" i="13" s="1"/>
  <c r="F30" i="13" s="1"/>
  <c r="B31" i="13"/>
  <c r="C31" i="13" s="1"/>
  <c r="D31" i="13" s="1"/>
  <c r="F31" i="13" s="1"/>
  <c r="B32" i="13"/>
  <c r="C32" i="13" s="1"/>
  <c r="D32" i="13" s="1"/>
  <c r="F32" i="13" s="1"/>
  <c r="B33" i="13"/>
  <c r="C33" i="13" s="1"/>
  <c r="D33" i="13" s="1"/>
  <c r="F33" i="13" s="1"/>
  <c r="B34" i="13"/>
  <c r="C34" i="13" s="1"/>
  <c r="D34" i="13" s="1"/>
  <c r="F34" i="13" s="1"/>
  <c r="B35" i="13"/>
  <c r="C35" i="13" s="1"/>
  <c r="D35" i="13" s="1"/>
  <c r="F35" i="13" s="1"/>
  <c r="B36" i="13"/>
  <c r="C36" i="13" s="1"/>
  <c r="D36" i="13" s="1"/>
  <c r="F36" i="13" s="1"/>
  <c r="B37" i="13"/>
  <c r="C37" i="13" s="1"/>
  <c r="D37" i="13" s="1"/>
  <c r="F37" i="13" s="1"/>
  <c r="B38" i="13"/>
  <c r="C38" i="13" s="1"/>
  <c r="D38" i="13" s="1"/>
  <c r="F38" i="13" s="1"/>
  <c r="B39" i="13"/>
  <c r="C39" i="13" s="1"/>
  <c r="D39" i="13" s="1"/>
  <c r="F39" i="13" s="1"/>
  <c r="B40" i="13"/>
  <c r="C40" i="13" s="1"/>
  <c r="D40" i="13" s="1"/>
  <c r="F40" i="13" s="1"/>
  <c r="B41" i="13"/>
  <c r="C41" i="13" s="1"/>
  <c r="D41" i="13" s="1"/>
  <c r="F41" i="13" s="1"/>
  <c r="B42" i="13"/>
  <c r="C42" i="13" s="1"/>
  <c r="D42" i="13" s="1"/>
  <c r="F42" i="13" s="1"/>
  <c r="B43" i="13"/>
  <c r="C43" i="13" s="1"/>
  <c r="D43" i="13" s="1"/>
  <c r="F43" i="13" s="1"/>
  <c r="B44" i="13"/>
  <c r="C44" i="13" s="1"/>
  <c r="D44" i="13" s="1"/>
  <c r="F44" i="13" s="1"/>
  <c r="B45" i="13"/>
  <c r="C45" i="13" s="1"/>
  <c r="D45" i="13" s="1"/>
  <c r="F45" i="13" s="1"/>
  <c r="B46" i="13"/>
  <c r="C46" i="13" s="1"/>
  <c r="D46" i="13" s="1"/>
  <c r="F46" i="13" s="1"/>
  <c r="B47" i="13"/>
  <c r="C47" i="13" s="1"/>
  <c r="D47" i="13" s="1"/>
  <c r="F47" i="13" s="1"/>
  <c r="B48" i="13"/>
  <c r="C48" i="13" s="1"/>
  <c r="D48" i="13" s="1"/>
  <c r="F48" i="13" s="1"/>
  <c r="B49" i="13"/>
  <c r="C49" i="13" s="1"/>
  <c r="D49" i="13" s="1"/>
  <c r="F49" i="13" s="1"/>
  <c r="B50" i="13"/>
  <c r="C50" i="13" s="1"/>
  <c r="D50" i="13" s="1"/>
  <c r="F50" i="13" s="1"/>
  <c r="B51" i="13"/>
  <c r="C51" i="13" s="1"/>
  <c r="D51" i="13" s="1"/>
  <c r="F51" i="13" s="1"/>
  <c r="B52" i="13"/>
  <c r="C52" i="13" s="1"/>
  <c r="D52" i="13" s="1"/>
  <c r="F52" i="13" s="1"/>
  <c r="B53" i="13"/>
  <c r="C53" i="13" s="1"/>
  <c r="D53" i="13" s="1"/>
  <c r="F53" i="13" s="1"/>
  <c r="B54" i="13"/>
  <c r="C54" i="13" s="1"/>
  <c r="D54" i="13" s="1"/>
  <c r="F54" i="13" s="1"/>
  <c r="B55" i="13"/>
  <c r="C55" i="13" s="1"/>
  <c r="D55" i="13" s="1"/>
  <c r="F55" i="13" s="1"/>
  <c r="B56" i="13"/>
  <c r="C56" i="13" s="1"/>
  <c r="D56" i="13" s="1"/>
  <c r="F56" i="13" s="1"/>
  <c r="B57" i="13"/>
  <c r="C57" i="13" s="1"/>
  <c r="D57" i="13" s="1"/>
  <c r="F57" i="13" s="1"/>
  <c r="B58" i="13"/>
  <c r="C58" i="13" s="1"/>
  <c r="D58" i="13" s="1"/>
  <c r="F58" i="13" s="1"/>
  <c r="B59" i="13"/>
  <c r="C59" i="13" s="1"/>
  <c r="D59" i="13" s="1"/>
  <c r="F59" i="13" s="1"/>
  <c r="B60" i="13"/>
  <c r="C60" i="13" s="1"/>
  <c r="D60" i="13" s="1"/>
  <c r="F60" i="13" s="1"/>
  <c r="B61" i="13"/>
  <c r="C61" i="13" s="1"/>
  <c r="D61" i="13" s="1"/>
  <c r="F61" i="13" s="1"/>
  <c r="B2" i="13"/>
  <c r="C2" i="13" s="1"/>
  <c r="B4" i="12"/>
  <c r="B6" i="12"/>
  <c r="B8" i="12"/>
  <c r="B10" i="12"/>
  <c r="B12" i="12"/>
  <c r="B14" i="12"/>
  <c r="B16" i="12"/>
  <c r="B18" i="12"/>
  <c r="B20" i="12"/>
  <c r="B22" i="12"/>
  <c r="B24" i="12"/>
  <c r="B26" i="12"/>
  <c r="B28" i="12"/>
  <c r="B30" i="12"/>
  <c r="B32" i="12"/>
  <c r="B34" i="12"/>
  <c r="B36" i="12"/>
  <c r="B38" i="12"/>
  <c r="B40" i="12"/>
  <c r="B42" i="12"/>
  <c r="B44" i="12"/>
  <c r="B46" i="12"/>
  <c r="B48" i="12"/>
  <c r="B50" i="12"/>
  <c r="B52" i="12"/>
  <c r="B54" i="12"/>
  <c r="B56" i="12"/>
  <c r="B58" i="12"/>
  <c r="B60" i="12"/>
  <c r="B2" i="12"/>
  <c r="AC4" i="12"/>
  <c r="AC6" i="12"/>
  <c r="AC7" i="12"/>
  <c r="AE2" i="12"/>
  <c r="AD4" i="12"/>
  <c r="AD2" i="12"/>
  <c r="AC2" i="12"/>
  <c r="AB4" i="12"/>
  <c r="AB6" i="12"/>
  <c r="AB8" i="12"/>
  <c r="AB2" i="12"/>
  <c r="AA4" i="12"/>
  <c r="AA6" i="12"/>
  <c r="AA8" i="12"/>
  <c r="AA10" i="12"/>
  <c r="Z4" i="12"/>
  <c r="Z6" i="12"/>
  <c r="Z8" i="12"/>
  <c r="Z10" i="12"/>
  <c r="Z12" i="12"/>
  <c r="Y4" i="12"/>
  <c r="Y6" i="12"/>
  <c r="Y8" i="12"/>
  <c r="Y10" i="12"/>
  <c r="Y12" i="12"/>
  <c r="Y14" i="12"/>
  <c r="X4" i="12"/>
  <c r="X6" i="12"/>
  <c r="X8" i="12"/>
  <c r="X10" i="12"/>
  <c r="X12" i="12"/>
  <c r="X14" i="12"/>
  <c r="X16" i="12"/>
  <c r="AA2" i="12"/>
  <c r="Z2" i="12"/>
  <c r="Y2" i="12"/>
  <c r="X2" i="12"/>
  <c r="W4" i="12"/>
  <c r="W6" i="12"/>
  <c r="W8" i="12"/>
  <c r="W10" i="12"/>
  <c r="W12" i="12"/>
  <c r="W14" i="12"/>
  <c r="W16" i="12"/>
  <c r="W18" i="12"/>
  <c r="V4" i="12"/>
  <c r="V6" i="12"/>
  <c r="V8" i="12"/>
  <c r="V10" i="12"/>
  <c r="V12" i="12"/>
  <c r="V14" i="12"/>
  <c r="V16" i="12"/>
  <c r="V18" i="12"/>
  <c r="V20" i="12"/>
  <c r="W2" i="12"/>
  <c r="V2" i="12"/>
  <c r="U4" i="12"/>
  <c r="U6" i="12"/>
  <c r="U8" i="12"/>
  <c r="U10" i="12"/>
  <c r="U12" i="12"/>
  <c r="U14" i="12"/>
  <c r="U16" i="12"/>
  <c r="U18" i="12"/>
  <c r="U20" i="12"/>
  <c r="U22" i="12"/>
  <c r="U2" i="12"/>
  <c r="T4" i="12"/>
  <c r="T6" i="12"/>
  <c r="T8" i="12"/>
  <c r="T10" i="12"/>
  <c r="T12" i="12"/>
  <c r="T14" i="12"/>
  <c r="T16" i="12"/>
  <c r="T18" i="12"/>
  <c r="T20" i="12"/>
  <c r="T22" i="12"/>
  <c r="T24" i="12"/>
  <c r="T2" i="12"/>
  <c r="S4" i="12"/>
  <c r="S6" i="12"/>
  <c r="S8" i="12"/>
  <c r="S10" i="12"/>
  <c r="S12" i="12"/>
  <c r="S14" i="12"/>
  <c r="S16" i="12"/>
  <c r="S18" i="12"/>
  <c r="S20" i="12"/>
  <c r="S22" i="12"/>
  <c r="S24" i="12"/>
  <c r="S26" i="12"/>
  <c r="S2" i="12"/>
  <c r="R4" i="12"/>
  <c r="R6" i="12"/>
  <c r="R8" i="12"/>
  <c r="R10" i="12"/>
  <c r="R12" i="12"/>
  <c r="R14" i="12"/>
  <c r="R16" i="12"/>
  <c r="R18" i="12"/>
  <c r="R20" i="12"/>
  <c r="R22" i="12"/>
  <c r="R24" i="12"/>
  <c r="R26" i="12"/>
  <c r="R28" i="12"/>
  <c r="R2" i="12"/>
  <c r="Q4" i="12"/>
  <c r="Q6" i="12"/>
  <c r="Q8" i="12"/>
  <c r="Q10" i="12"/>
  <c r="Q12" i="12"/>
  <c r="Q14" i="12"/>
  <c r="Q16" i="12"/>
  <c r="Q18" i="12"/>
  <c r="Q20" i="12"/>
  <c r="Q22" i="12"/>
  <c r="Q24" i="12"/>
  <c r="Q26" i="12"/>
  <c r="Q28" i="12"/>
  <c r="Q30" i="12"/>
  <c r="Q2" i="12"/>
  <c r="P4" i="12"/>
  <c r="P6" i="12"/>
  <c r="P8" i="12"/>
  <c r="P10" i="12"/>
  <c r="P12" i="12"/>
  <c r="P14" i="12"/>
  <c r="P16" i="12"/>
  <c r="P18" i="12"/>
  <c r="P20" i="12"/>
  <c r="P22" i="12"/>
  <c r="P24" i="12"/>
  <c r="P26" i="12"/>
  <c r="P28" i="12"/>
  <c r="P30" i="12"/>
  <c r="P32" i="12"/>
  <c r="P2" i="12"/>
  <c r="O4" i="12"/>
  <c r="O6" i="12"/>
  <c r="O8" i="12"/>
  <c r="O10" i="12"/>
  <c r="O12" i="12"/>
  <c r="O14" i="12"/>
  <c r="O16" i="12"/>
  <c r="O18" i="12"/>
  <c r="O20" i="12"/>
  <c r="O22" i="12"/>
  <c r="O24" i="12"/>
  <c r="O26" i="12"/>
  <c r="O28" i="12"/>
  <c r="O30" i="12"/>
  <c r="O32" i="12"/>
  <c r="O34" i="12"/>
  <c r="O2" i="12"/>
  <c r="N4" i="12"/>
  <c r="N6" i="12"/>
  <c r="N8" i="12"/>
  <c r="N10" i="12"/>
  <c r="N12" i="12"/>
  <c r="N14" i="12"/>
  <c r="N16" i="12"/>
  <c r="N18" i="12"/>
  <c r="N20" i="12"/>
  <c r="N22" i="12"/>
  <c r="N24" i="12"/>
  <c r="N26" i="12"/>
  <c r="N28" i="12"/>
  <c r="N30" i="12"/>
  <c r="N32" i="12"/>
  <c r="N34" i="12"/>
  <c r="N36" i="12"/>
  <c r="N2" i="12"/>
  <c r="M4" i="12"/>
  <c r="M6" i="12"/>
  <c r="M8" i="12"/>
  <c r="M10" i="12"/>
  <c r="M12" i="12"/>
  <c r="M14" i="12"/>
  <c r="M16" i="12"/>
  <c r="M18" i="12"/>
  <c r="M20" i="12"/>
  <c r="M22" i="12"/>
  <c r="M24" i="12"/>
  <c r="M26" i="12"/>
  <c r="M28" i="12"/>
  <c r="M30" i="12"/>
  <c r="M32" i="12"/>
  <c r="M34" i="12"/>
  <c r="M36" i="12"/>
  <c r="M38" i="12"/>
  <c r="M2" i="12"/>
  <c r="L4" i="12"/>
  <c r="L6" i="12"/>
  <c r="L8" i="12"/>
  <c r="L10" i="12"/>
  <c r="L12" i="12"/>
  <c r="L14" i="12"/>
  <c r="L16" i="12"/>
  <c r="L18" i="12"/>
  <c r="L20" i="12"/>
  <c r="L22" i="12"/>
  <c r="L24" i="12"/>
  <c r="L26" i="12"/>
  <c r="L28" i="12"/>
  <c r="L30" i="12"/>
  <c r="L32" i="12"/>
  <c r="L34" i="12"/>
  <c r="L36" i="12"/>
  <c r="L38" i="12"/>
  <c r="L40" i="12"/>
  <c r="L2" i="12"/>
  <c r="K4" i="12"/>
  <c r="K6" i="12"/>
  <c r="K8" i="12"/>
  <c r="K10" i="12"/>
  <c r="K12" i="12"/>
  <c r="K14" i="12"/>
  <c r="K16" i="12"/>
  <c r="K18" i="12"/>
  <c r="K20" i="12"/>
  <c r="K22" i="12"/>
  <c r="K24" i="12"/>
  <c r="K26" i="12"/>
  <c r="K28" i="12"/>
  <c r="K30" i="12"/>
  <c r="K32" i="12"/>
  <c r="K34" i="12"/>
  <c r="K36" i="12"/>
  <c r="K38" i="12"/>
  <c r="K40" i="12"/>
  <c r="K42" i="12"/>
  <c r="K2" i="12"/>
  <c r="J4" i="12"/>
  <c r="J6" i="12"/>
  <c r="J8" i="12"/>
  <c r="J10" i="12"/>
  <c r="J12" i="12"/>
  <c r="J14" i="12"/>
  <c r="J16" i="12"/>
  <c r="J18" i="12"/>
  <c r="J20" i="12"/>
  <c r="J22" i="12"/>
  <c r="J24" i="12"/>
  <c r="J26" i="12"/>
  <c r="J28" i="12"/>
  <c r="J30" i="12"/>
  <c r="J32" i="12"/>
  <c r="J34" i="12"/>
  <c r="J36" i="12"/>
  <c r="J38" i="12"/>
  <c r="J40" i="12"/>
  <c r="J42" i="12"/>
  <c r="J44" i="12"/>
  <c r="J2" i="12"/>
  <c r="I4" i="12"/>
  <c r="I6" i="12"/>
  <c r="I8" i="12"/>
  <c r="I10" i="12"/>
  <c r="I12" i="12"/>
  <c r="I14" i="12"/>
  <c r="I16" i="12"/>
  <c r="I18" i="12"/>
  <c r="I20" i="12"/>
  <c r="I22" i="12"/>
  <c r="I24" i="12"/>
  <c r="I26" i="12"/>
  <c r="I28" i="12"/>
  <c r="I30" i="12"/>
  <c r="I32" i="12"/>
  <c r="I34" i="12"/>
  <c r="I36" i="12"/>
  <c r="I38" i="12"/>
  <c r="I40" i="12"/>
  <c r="I42" i="12"/>
  <c r="I44" i="12"/>
  <c r="I46" i="12"/>
  <c r="I2" i="12"/>
  <c r="H4" i="12"/>
  <c r="H6" i="12"/>
  <c r="H8" i="12"/>
  <c r="H10" i="12"/>
  <c r="H12" i="12"/>
  <c r="H14" i="12"/>
  <c r="H16" i="12"/>
  <c r="H18" i="12"/>
  <c r="H20" i="12"/>
  <c r="H22" i="12"/>
  <c r="H24" i="12"/>
  <c r="H26" i="12"/>
  <c r="H28" i="12"/>
  <c r="H30" i="12"/>
  <c r="H32" i="12"/>
  <c r="H34" i="12"/>
  <c r="H36" i="12"/>
  <c r="H38" i="12"/>
  <c r="H40" i="12"/>
  <c r="H42" i="12"/>
  <c r="H44" i="12"/>
  <c r="H46" i="12"/>
  <c r="H48" i="12"/>
  <c r="H2" i="12"/>
  <c r="G4" i="12"/>
  <c r="G6" i="12"/>
  <c r="G8" i="12"/>
  <c r="G10" i="12"/>
  <c r="G12" i="12"/>
  <c r="G14" i="12"/>
  <c r="G16" i="12"/>
  <c r="G18" i="12"/>
  <c r="G20" i="12"/>
  <c r="G22" i="12"/>
  <c r="G24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2" i="12"/>
  <c r="F4" i="12"/>
  <c r="F6" i="12"/>
  <c r="F8" i="12"/>
  <c r="F10" i="12"/>
  <c r="F12" i="12"/>
  <c r="F14" i="12"/>
  <c r="F16" i="12"/>
  <c r="F18" i="12"/>
  <c r="F20" i="12"/>
  <c r="F22" i="12"/>
  <c r="F24" i="12"/>
  <c r="F26" i="12"/>
  <c r="F28" i="12"/>
  <c r="F30" i="12"/>
  <c r="F32" i="12"/>
  <c r="F34" i="12"/>
  <c r="F36" i="12"/>
  <c r="F38" i="12"/>
  <c r="F40" i="12"/>
  <c r="F42" i="12"/>
  <c r="F44" i="12"/>
  <c r="F46" i="12"/>
  <c r="F48" i="12"/>
  <c r="F50" i="12"/>
  <c r="F52" i="12"/>
  <c r="F2" i="12"/>
  <c r="E4" i="12"/>
  <c r="E6" i="12"/>
  <c r="E8" i="12"/>
  <c r="E10" i="12"/>
  <c r="E12" i="12"/>
  <c r="E14" i="12"/>
  <c r="E16" i="12"/>
  <c r="E18" i="12"/>
  <c r="E20" i="12"/>
  <c r="E22" i="12"/>
  <c r="E24" i="12"/>
  <c r="E26" i="12"/>
  <c r="E28" i="12"/>
  <c r="E30" i="12"/>
  <c r="E32" i="12"/>
  <c r="E34" i="12"/>
  <c r="E36" i="12"/>
  <c r="E38" i="12"/>
  <c r="E40" i="12"/>
  <c r="E42" i="12"/>
  <c r="E44" i="12"/>
  <c r="E46" i="12"/>
  <c r="E48" i="12"/>
  <c r="E50" i="12"/>
  <c r="E52" i="12"/>
  <c r="E54" i="12"/>
  <c r="E2" i="12"/>
  <c r="D4" i="12"/>
  <c r="D6" i="12"/>
  <c r="D8" i="12"/>
  <c r="D10" i="12"/>
  <c r="D12" i="12"/>
  <c r="D14" i="12"/>
  <c r="D16" i="12"/>
  <c r="D18" i="12"/>
  <c r="D20" i="12"/>
  <c r="D22" i="12"/>
  <c r="D24" i="12"/>
  <c r="D26" i="12"/>
  <c r="D28" i="12"/>
  <c r="D30" i="12"/>
  <c r="D32" i="12"/>
  <c r="D34" i="12"/>
  <c r="D36" i="12"/>
  <c r="D38" i="12"/>
  <c r="D40" i="12"/>
  <c r="D42" i="12"/>
  <c r="D44" i="12"/>
  <c r="D46" i="12"/>
  <c r="D48" i="12"/>
  <c r="D50" i="12"/>
  <c r="D52" i="12"/>
  <c r="D54" i="12"/>
  <c r="D56" i="12"/>
  <c r="D2" i="12"/>
  <c r="C4" i="12"/>
  <c r="C6" i="12"/>
  <c r="C8" i="12"/>
  <c r="C10" i="12"/>
  <c r="C12" i="12"/>
  <c r="C14" i="12"/>
  <c r="C16" i="12"/>
  <c r="C18" i="12"/>
  <c r="C20" i="12"/>
  <c r="C22" i="12"/>
  <c r="C24" i="12"/>
  <c r="C26" i="12"/>
  <c r="C28" i="12"/>
  <c r="C30" i="12"/>
  <c r="C32" i="12"/>
  <c r="C34" i="12"/>
  <c r="C36" i="12"/>
  <c r="C38" i="12"/>
  <c r="C40" i="12"/>
  <c r="C42" i="12"/>
  <c r="C44" i="12"/>
  <c r="C46" i="12"/>
  <c r="C48" i="12"/>
  <c r="C50" i="12"/>
  <c r="C52" i="12"/>
  <c r="C54" i="12"/>
  <c r="C56" i="12"/>
  <c r="C58" i="12"/>
  <c r="C2" i="12"/>
  <c r="O61" i="13" l="1"/>
  <c r="O60" i="13" s="1"/>
  <c r="O59" i="13" s="1"/>
  <c r="O58" i="13" s="1"/>
  <c r="O57" i="13" s="1"/>
  <c r="O56" i="13" s="1"/>
  <c r="O55" i="13" s="1"/>
  <c r="O54" i="13" s="1"/>
  <c r="O53" i="13" s="1"/>
  <c r="O52" i="13" s="1"/>
  <c r="O51" i="13" s="1"/>
  <c r="O50" i="13" s="1"/>
  <c r="O49" i="13" s="1"/>
  <c r="O48" i="13" s="1"/>
  <c r="O47" i="13" s="1"/>
  <c r="O46" i="13" s="1"/>
  <c r="O45" i="13" s="1"/>
  <c r="O44" i="13" s="1"/>
  <c r="O43" i="13" s="1"/>
  <c r="O42" i="13" s="1"/>
  <c r="O41" i="13" s="1"/>
  <c r="O40" i="13" s="1"/>
  <c r="O39" i="13" s="1"/>
  <c r="O38" i="13" s="1"/>
  <c r="O37" i="13" s="1"/>
  <c r="O36" i="13" s="1"/>
  <c r="O35" i="13" s="1"/>
  <c r="O34" i="13" s="1"/>
  <c r="O33" i="13" s="1"/>
  <c r="O32" i="13" s="1"/>
  <c r="O31" i="13" s="1"/>
  <c r="O30" i="13" s="1"/>
  <c r="O29" i="13" s="1"/>
  <c r="O28" i="13" s="1"/>
  <c r="O27" i="13" s="1"/>
  <c r="O26" i="13" s="1"/>
  <c r="O25" i="13" s="1"/>
  <c r="O24" i="13" s="1"/>
  <c r="O23" i="13" s="1"/>
  <c r="O22" i="13" s="1"/>
  <c r="O21" i="13" s="1"/>
  <c r="O20" i="13" s="1"/>
  <c r="O19" i="13" s="1"/>
  <c r="O18" i="13" s="1"/>
  <c r="O17" i="13" s="1"/>
  <c r="O16" i="13" s="1"/>
  <c r="O15" i="13" s="1"/>
  <c r="O14" i="13" s="1"/>
  <c r="O13" i="13" s="1"/>
  <c r="O12" i="13" s="1"/>
  <c r="O11" i="13" s="1"/>
  <c r="O10" i="13" s="1"/>
  <c r="O9" i="13" s="1"/>
  <c r="O8" i="13" s="1"/>
  <c r="O7" i="13" s="1"/>
  <c r="O6" i="13" s="1"/>
  <c r="O5" i="13" s="1"/>
  <c r="O4" i="13" s="1"/>
  <c r="O3" i="13" s="1"/>
  <c r="O2" i="13" s="1"/>
  <c r="N46" i="13"/>
  <c r="N30" i="13"/>
  <c r="N14" i="13"/>
  <c r="N22" i="13"/>
  <c r="N54" i="13"/>
  <c r="N38" i="13"/>
  <c r="N26" i="13"/>
  <c r="N6" i="13"/>
  <c r="N58" i="13"/>
  <c r="N50" i="13"/>
  <c r="N42" i="13"/>
  <c r="N34" i="13"/>
  <c r="N18" i="13"/>
  <c r="N10" i="13"/>
  <c r="N51" i="13"/>
  <c r="N35" i="13"/>
  <c r="N27" i="13"/>
  <c r="N11" i="13"/>
  <c r="N55" i="13"/>
  <c r="N47" i="13"/>
  <c r="N39" i="13"/>
  <c r="N23" i="13"/>
  <c r="N15" i="13"/>
  <c r="N61" i="13"/>
  <c r="N57" i="13"/>
  <c r="N53" i="13"/>
  <c r="N49" i="13"/>
  <c r="N45" i="13"/>
  <c r="N41" i="13"/>
  <c r="N37" i="13"/>
  <c r="N33" i="13"/>
  <c r="N29" i="13"/>
  <c r="N25" i="13"/>
  <c r="N21" i="13"/>
  <c r="N17" i="13"/>
  <c r="N13" i="13"/>
  <c r="N9" i="13"/>
  <c r="N5" i="13"/>
  <c r="N59" i="13"/>
  <c r="N43" i="13"/>
  <c r="N31" i="13"/>
  <c r="N19" i="13"/>
  <c r="N7" i="13"/>
  <c r="N3" i="13"/>
  <c r="N60" i="13"/>
  <c r="N56" i="13"/>
  <c r="N52" i="13"/>
  <c r="N48" i="13"/>
  <c r="N44" i="13"/>
  <c r="N40" i="13"/>
  <c r="N36" i="13"/>
  <c r="N32" i="13"/>
  <c r="N28" i="13"/>
  <c r="N24" i="13"/>
  <c r="N20" i="13"/>
  <c r="N16" i="13"/>
  <c r="N12" i="13"/>
  <c r="N8" i="13"/>
  <c r="N4" i="13"/>
  <c r="N2" i="13"/>
  <c r="M46" i="13"/>
  <c r="M30" i="13"/>
  <c r="M14" i="13"/>
  <c r="M58" i="13"/>
  <c r="M34" i="13"/>
  <c r="M22" i="13"/>
  <c r="M18" i="13"/>
  <c r="M50" i="13"/>
  <c r="M38" i="13"/>
  <c r="M6" i="13"/>
  <c r="M54" i="13"/>
  <c r="M42" i="13"/>
  <c r="M26" i="13"/>
  <c r="M10" i="13"/>
  <c r="M59" i="13"/>
  <c r="M47" i="13"/>
  <c r="M39" i="13"/>
  <c r="M27" i="13"/>
  <c r="M19" i="13"/>
  <c r="M15" i="13"/>
  <c r="M7" i="13"/>
  <c r="M51" i="13"/>
  <c r="M35" i="13"/>
  <c r="M61" i="13"/>
  <c r="M57" i="13"/>
  <c r="M53" i="13"/>
  <c r="M49" i="13"/>
  <c r="M45" i="13"/>
  <c r="M41" i="13"/>
  <c r="M37" i="13"/>
  <c r="M33" i="13"/>
  <c r="M29" i="13"/>
  <c r="M25" i="13"/>
  <c r="M21" i="13"/>
  <c r="M17" i="13"/>
  <c r="M13" i="13"/>
  <c r="M9" i="13"/>
  <c r="M5" i="13"/>
  <c r="M55" i="13"/>
  <c r="M43" i="13"/>
  <c r="M31" i="13"/>
  <c r="M23" i="13"/>
  <c r="M11" i="13"/>
  <c r="M3" i="13"/>
  <c r="M60" i="13"/>
  <c r="M56" i="13"/>
  <c r="M52" i="13"/>
  <c r="M48" i="13"/>
  <c r="M44" i="13"/>
  <c r="M40" i="13"/>
  <c r="M36" i="13"/>
  <c r="M32" i="13"/>
  <c r="M28" i="13"/>
  <c r="M24" i="13"/>
  <c r="M20" i="13"/>
  <c r="M16" i="13"/>
  <c r="M12" i="13"/>
  <c r="M8" i="13"/>
  <c r="M4" i="13"/>
  <c r="M2" i="13"/>
  <c r="E34" i="13"/>
  <c r="E50" i="13"/>
  <c r="E18" i="13"/>
  <c r="E46" i="13"/>
  <c r="E30" i="13"/>
  <c r="E14" i="13"/>
  <c r="E58" i="13"/>
  <c r="E42" i="13"/>
  <c r="E26" i="13"/>
  <c r="E10" i="13"/>
  <c r="E54" i="13"/>
  <c r="E38" i="13"/>
  <c r="E22" i="13"/>
  <c r="E6" i="13"/>
  <c r="E61" i="13"/>
  <c r="E57" i="13"/>
  <c r="E53" i="13"/>
  <c r="E49" i="13"/>
  <c r="E45" i="13"/>
  <c r="E41" i="13"/>
  <c r="E37" i="13"/>
  <c r="E33" i="13"/>
  <c r="E29" i="13"/>
  <c r="E25" i="13"/>
  <c r="E21" i="13"/>
  <c r="E17" i="13"/>
  <c r="E13" i="13"/>
  <c r="E9" i="13"/>
  <c r="E5" i="13"/>
  <c r="E60" i="13"/>
  <c r="E56" i="13"/>
  <c r="E52" i="13"/>
  <c r="E48" i="13"/>
  <c r="E44" i="13"/>
  <c r="E40" i="13"/>
  <c r="E36" i="13"/>
  <c r="E32" i="13"/>
  <c r="E28" i="13"/>
  <c r="E24" i="13"/>
  <c r="E20" i="13"/>
  <c r="E16" i="13"/>
  <c r="E12" i="13"/>
  <c r="E8" i="13"/>
  <c r="E4" i="13"/>
  <c r="E59" i="13"/>
  <c r="E55" i="13"/>
  <c r="E51" i="13"/>
  <c r="E47" i="13"/>
  <c r="E43" i="13"/>
  <c r="E39" i="13"/>
  <c r="E35" i="13"/>
  <c r="E31" i="13"/>
  <c r="E27" i="13"/>
  <c r="E23" i="13"/>
  <c r="E19" i="13"/>
  <c r="E15" i="13"/>
  <c r="E11" i="13"/>
  <c r="E7" i="13"/>
  <c r="E3" i="13"/>
  <c r="D2" i="13"/>
  <c r="K39" i="12"/>
  <c r="K7" i="12"/>
  <c r="L31" i="12"/>
  <c r="P3" i="12"/>
  <c r="K43" i="12"/>
  <c r="S19" i="12"/>
  <c r="S27" i="12"/>
  <c r="L11" i="12"/>
  <c r="AC5" i="12"/>
  <c r="AE3" i="12"/>
  <c r="AD5" i="12"/>
  <c r="AB5" i="12"/>
  <c r="AB9" i="12"/>
  <c r="AB7" i="12"/>
  <c r="AC3" i="12"/>
  <c r="AD3" i="12"/>
  <c r="AB3" i="12"/>
  <c r="X15" i="12"/>
  <c r="AA7" i="12"/>
  <c r="Y11" i="12"/>
  <c r="AA5" i="12"/>
  <c r="AA9" i="12"/>
  <c r="Z11" i="12"/>
  <c r="AA11" i="12"/>
  <c r="Z9" i="12"/>
  <c r="Z13" i="12"/>
  <c r="Z7" i="12"/>
  <c r="Y15" i="12"/>
  <c r="Y7" i="12"/>
  <c r="Z5" i="12"/>
  <c r="Y5" i="12"/>
  <c r="X9" i="12"/>
  <c r="Y9" i="12"/>
  <c r="Y13" i="12"/>
  <c r="X7" i="12"/>
  <c r="X13" i="12"/>
  <c r="X17" i="12"/>
  <c r="X5" i="12"/>
  <c r="AA3" i="12"/>
  <c r="X11" i="12"/>
  <c r="Z3" i="12"/>
  <c r="Y3" i="12"/>
  <c r="V19" i="12"/>
  <c r="X3" i="12"/>
  <c r="W15" i="12"/>
  <c r="W19" i="12"/>
  <c r="W9" i="12"/>
  <c r="V11" i="12"/>
  <c r="W13" i="12"/>
  <c r="V9" i="12"/>
  <c r="W11" i="12"/>
  <c r="W5" i="12"/>
  <c r="V15" i="12"/>
  <c r="V7" i="12"/>
  <c r="W17" i="12"/>
  <c r="W7" i="12"/>
  <c r="V13" i="12"/>
  <c r="W3" i="12"/>
  <c r="V17" i="12"/>
  <c r="V21" i="12"/>
  <c r="V5" i="12"/>
  <c r="U5" i="12"/>
  <c r="U17" i="12"/>
  <c r="U9" i="12"/>
  <c r="V3" i="12"/>
  <c r="U21" i="12"/>
  <c r="U15" i="12"/>
  <c r="U23" i="12"/>
  <c r="U7" i="12"/>
  <c r="U13" i="12"/>
  <c r="U11" i="12"/>
  <c r="U19" i="12"/>
  <c r="U3" i="12"/>
  <c r="T25" i="12"/>
  <c r="T23" i="12"/>
  <c r="T15" i="12"/>
  <c r="T7" i="12"/>
  <c r="T9" i="12"/>
  <c r="T21" i="12"/>
  <c r="T13" i="12"/>
  <c r="T5" i="12"/>
  <c r="T17" i="12"/>
  <c r="T19" i="12"/>
  <c r="T11" i="12"/>
  <c r="R23" i="12"/>
  <c r="T3" i="12"/>
  <c r="S7" i="12"/>
  <c r="S21" i="12"/>
  <c r="S15" i="12"/>
  <c r="S25" i="12"/>
  <c r="S13" i="12"/>
  <c r="S23" i="12"/>
  <c r="S17" i="12"/>
  <c r="S5" i="12"/>
  <c r="S9" i="12"/>
  <c r="R7" i="12"/>
  <c r="S11" i="12"/>
  <c r="S3" i="12"/>
  <c r="P27" i="12"/>
  <c r="P19" i="12"/>
  <c r="R15" i="12"/>
  <c r="R25" i="12"/>
  <c r="R13" i="12"/>
  <c r="R17" i="12"/>
  <c r="R5" i="12"/>
  <c r="R21" i="12"/>
  <c r="R29" i="12"/>
  <c r="R9" i="12"/>
  <c r="R27" i="12"/>
  <c r="R19" i="12"/>
  <c r="R3" i="12"/>
  <c r="R11" i="12"/>
  <c r="Q31" i="12"/>
  <c r="Q23" i="12"/>
  <c r="Q15" i="12"/>
  <c r="Q7" i="12"/>
  <c r="Q25" i="12"/>
  <c r="Q9" i="12"/>
  <c r="Q29" i="12"/>
  <c r="Q13" i="12"/>
  <c r="Q19" i="12"/>
  <c r="P23" i="12"/>
  <c r="Q27" i="12"/>
  <c r="Q17" i="12"/>
  <c r="Q11" i="12"/>
  <c r="Q21" i="12"/>
  <c r="Q5" i="12"/>
  <c r="P33" i="12"/>
  <c r="P25" i="12"/>
  <c r="P17" i="12"/>
  <c r="P9" i="12"/>
  <c r="Q3" i="12"/>
  <c r="P15" i="12"/>
  <c r="P7" i="12"/>
  <c r="P11" i="12"/>
  <c r="P31" i="12"/>
  <c r="M23" i="12"/>
  <c r="M15" i="12"/>
  <c r="O29" i="12"/>
  <c r="O21" i="12"/>
  <c r="O13" i="12"/>
  <c r="O5" i="12"/>
  <c r="P29" i="12"/>
  <c r="P21" i="12"/>
  <c r="P13" i="12"/>
  <c r="P5" i="12"/>
  <c r="O35" i="12"/>
  <c r="O27" i="12"/>
  <c r="O19" i="12"/>
  <c r="O11" i="12"/>
  <c r="O33" i="12"/>
  <c r="O25" i="12"/>
  <c r="O17" i="12"/>
  <c r="O9" i="12"/>
  <c r="O31" i="12"/>
  <c r="O7" i="12"/>
  <c r="O15" i="12"/>
  <c r="O23" i="12"/>
  <c r="O3" i="12"/>
  <c r="N29" i="12"/>
  <c r="N13" i="12"/>
  <c r="N35" i="12"/>
  <c r="N27" i="12"/>
  <c r="N19" i="12"/>
  <c r="N11" i="12"/>
  <c r="N23" i="12"/>
  <c r="N33" i="12"/>
  <c r="N17" i="12"/>
  <c r="N7" i="12"/>
  <c r="N37" i="12"/>
  <c r="N31" i="12"/>
  <c r="N21" i="12"/>
  <c r="N15" i="12"/>
  <c r="N5" i="12"/>
  <c r="M39" i="12"/>
  <c r="N25" i="12"/>
  <c r="N9" i="12"/>
  <c r="N3" i="12"/>
  <c r="M13" i="12"/>
  <c r="M7" i="12"/>
  <c r="M27" i="12"/>
  <c r="M11" i="12"/>
  <c r="M35" i="12"/>
  <c r="M19" i="12"/>
  <c r="M29" i="12"/>
  <c r="M33" i="12"/>
  <c r="M17" i="12"/>
  <c r="M37" i="12"/>
  <c r="M31" i="12"/>
  <c r="M21" i="12"/>
  <c r="M5" i="12"/>
  <c r="M25" i="12"/>
  <c r="M9" i="12"/>
  <c r="J23" i="12"/>
  <c r="M3" i="12"/>
  <c r="L27" i="12"/>
  <c r="L35" i="12"/>
  <c r="L13" i="12"/>
  <c r="L33" i="12"/>
  <c r="L19" i="12"/>
  <c r="L29" i="12"/>
  <c r="L15" i="12"/>
  <c r="L17" i="12"/>
  <c r="L23" i="12"/>
  <c r="L37" i="12"/>
  <c r="L21" i="12"/>
  <c r="L5" i="12"/>
  <c r="L39" i="12"/>
  <c r="L7" i="12"/>
  <c r="L41" i="12"/>
  <c r="L25" i="12"/>
  <c r="L9" i="12"/>
  <c r="J35" i="12"/>
  <c r="J19" i="12"/>
  <c r="J11" i="12"/>
  <c r="L3" i="12"/>
  <c r="K31" i="12"/>
  <c r="K15" i="12"/>
  <c r="K21" i="12"/>
  <c r="K33" i="12"/>
  <c r="K25" i="12"/>
  <c r="K13" i="12"/>
  <c r="K27" i="12"/>
  <c r="K37" i="12"/>
  <c r="K23" i="12"/>
  <c r="K17" i="12"/>
  <c r="K5" i="12"/>
  <c r="K41" i="12"/>
  <c r="K29" i="12"/>
  <c r="K9" i="12"/>
  <c r="K35" i="12"/>
  <c r="K19" i="12"/>
  <c r="K11" i="12"/>
  <c r="J39" i="12"/>
  <c r="J7" i="12"/>
  <c r="K3" i="12"/>
  <c r="J21" i="12"/>
  <c r="J43" i="12"/>
  <c r="I47" i="12"/>
  <c r="I31" i="12"/>
  <c r="I15" i="12"/>
  <c r="J31" i="12"/>
  <c r="J15" i="12"/>
  <c r="J45" i="12"/>
  <c r="J25" i="12"/>
  <c r="J13" i="12"/>
  <c r="J37" i="12"/>
  <c r="J17" i="12"/>
  <c r="J5" i="12"/>
  <c r="J33" i="12"/>
  <c r="J27" i="12"/>
  <c r="J41" i="12"/>
  <c r="J29" i="12"/>
  <c r="J9" i="12"/>
  <c r="I39" i="12"/>
  <c r="I23" i="12"/>
  <c r="I7" i="12"/>
  <c r="I13" i="12"/>
  <c r="I35" i="12"/>
  <c r="I27" i="12"/>
  <c r="J3" i="12"/>
  <c r="I19" i="12"/>
  <c r="I11" i="12"/>
  <c r="I45" i="12"/>
  <c r="I43" i="12"/>
  <c r="I29" i="12"/>
  <c r="I33" i="12"/>
  <c r="I17" i="12"/>
  <c r="I37" i="12"/>
  <c r="I21" i="12"/>
  <c r="I5" i="12"/>
  <c r="I41" i="12"/>
  <c r="I25" i="12"/>
  <c r="I9" i="12"/>
  <c r="H47" i="12"/>
  <c r="H31" i="12"/>
  <c r="H15" i="12"/>
  <c r="I3" i="12"/>
  <c r="H45" i="12"/>
  <c r="H29" i="12"/>
  <c r="H13" i="12"/>
  <c r="H39" i="12"/>
  <c r="G31" i="12"/>
  <c r="H23" i="12"/>
  <c r="H7" i="12"/>
  <c r="H43" i="12"/>
  <c r="H35" i="12"/>
  <c r="H27" i="12"/>
  <c r="H19" i="12"/>
  <c r="H11" i="12"/>
  <c r="H49" i="12"/>
  <c r="H33" i="12"/>
  <c r="H17" i="12"/>
  <c r="G43" i="12"/>
  <c r="G11" i="12"/>
  <c r="H37" i="12"/>
  <c r="H21" i="12"/>
  <c r="H5" i="12"/>
  <c r="H41" i="12"/>
  <c r="H25" i="12"/>
  <c r="H9" i="12"/>
  <c r="G27" i="12"/>
  <c r="H3" i="12"/>
  <c r="G23" i="12"/>
  <c r="G7" i="12"/>
  <c r="G51" i="12"/>
  <c r="G35" i="12"/>
  <c r="G21" i="12"/>
  <c r="G19" i="12"/>
  <c r="G41" i="12"/>
  <c r="G9" i="12"/>
  <c r="G47" i="12"/>
  <c r="D39" i="12"/>
  <c r="G15" i="12"/>
  <c r="G45" i="12"/>
  <c r="G33" i="12"/>
  <c r="G13" i="12"/>
  <c r="G37" i="12"/>
  <c r="G25" i="12"/>
  <c r="G5" i="12"/>
  <c r="F43" i="12"/>
  <c r="F27" i="12"/>
  <c r="F11" i="12"/>
  <c r="G49" i="12"/>
  <c r="G29" i="12"/>
  <c r="G17" i="12"/>
  <c r="G39" i="12"/>
  <c r="G3" i="12"/>
  <c r="F53" i="12"/>
  <c r="F37" i="12"/>
  <c r="F21" i="12"/>
  <c r="F5" i="12"/>
  <c r="F51" i="12"/>
  <c r="F35" i="12"/>
  <c r="F19" i="12"/>
  <c r="F39" i="12"/>
  <c r="F23" i="12"/>
  <c r="F7" i="12"/>
  <c r="F41" i="12"/>
  <c r="F25" i="12"/>
  <c r="F9" i="12"/>
  <c r="E35" i="12"/>
  <c r="E27" i="12"/>
  <c r="E19" i="12"/>
  <c r="F45" i="12"/>
  <c r="F33" i="12"/>
  <c r="F13" i="12"/>
  <c r="C35" i="12"/>
  <c r="D55" i="12"/>
  <c r="F47" i="12"/>
  <c r="D31" i="12"/>
  <c r="F15" i="12"/>
  <c r="E23" i="12"/>
  <c r="F49" i="12"/>
  <c r="F29" i="12"/>
  <c r="F17" i="12"/>
  <c r="F31" i="12"/>
  <c r="E29" i="12"/>
  <c r="E13" i="12"/>
  <c r="E15" i="12"/>
  <c r="F3" i="12"/>
  <c r="E51" i="12"/>
  <c r="E43" i="12"/>
  <c r="E7" i="12"/>
  <c r="E47" i="12"/>
  <c r="E11" i="12"/>
  <c r="E45" i="12"/>
  <c r="E31" i="12"/>
  <c r="E25" i="12"/>
  <c r="E49" i="12"/>
  <c r="E33" i="12"/>
  <c r="E17" i="12"/>
  <c r="E41" i="12"/>
  <c r="E9" i="12"/>
  <c r="E55" i="12"/>
  <c r="E39" i="12"/>
  <c r="D51" i="12"/>
  <c r="D43" i="12"/>
  <c r="C27" i="12"/>
  <c r="E53" i="12"/>
  <c r="E37" i="12"/>
  <c r="E21" i="12"/>
  <c r="E5" i="12"/>
  <c r="C51" i="12"/>
  <c r="D53" i="12"/>
  <c r="D27" i="12"/>
  <c r="D19" i="12"/>
  <c r="E3" i="12"/>
  <c r="D23" i="12"/>
  <c r="D7" i="12"/>
  <c r="D35" i="12"/>
  <c r="D21" i="12"/>
  <c r="D11" i="12"/>
  <c r="D47" i="12"/>
  <c r="D15" i="12"/>
  <c r="D45" i="12"/>
  <c r="D33" i="12"/>
  <c r="D13" i="12"/>
  <c r="D41" i="12"/>
  <c r="D9" i="12"/>
  <c r="D57" i="12"/>
  <c r="D37" i="12"/>
  <c r="D25" i="12"/>
  <c r="D5" i="12"/>
  <c r="D49" i="12"/>
  <c r="D29" i="12"/>
  <c r="D17" i="12"/>
  <c r="D3" i="12"/>
  <c r="C31" i="12"/>
  <c r="C23" i="12"/>
  <c r="C19" i="12"/>
  <c r="C9" i="12"/>
  <c r="C15" i="12"/>
  <c r="C55" i="12"/>
  <c r="C41" i="12"/>
  <c r="C57" i="12"/>
  <c r="C7" i="12"/>
  <c r="C59" i="12"/>
  <c r="C43" i="12"/>
  <c r="C47" i="12"/>
  <c r="C39" i="12"/>
  <c r="C25" i="12"/>
  <c r="C11" i="12"/>
  <c r="C45" i="12"/>
  <c r="C29" i="12"/>
  <c r="C13" i="12"/>
  <c r="C49" i="12"/>
  <c r="C33" i="12"/>
  <c r="C17" i="12"/>
  <c r="C53" i="12"/>
  <c r="C37" i="12"/>
  <c r="C21" i="12"/>
  <c r="C5" i="12"/>
  <c r="C3" i="12"/>
  <c r="J3" i="11"/>
  <c r="G3" i="11" s="1"/>
  <c r="J4" i="11"/>
  <c r="G4" i="11" s="1"/>
  <c r="J5" i="11"/>
  <c r="G5" i="11" s="1"/>
  <c r="J6" i="11"/>
  <c r="G6" i="11" s="1"/>
  <c r="J7" i="11"/>
  <c r="G7" i="11" s="1"/>
  <c r="J8" i="11"/>
  <c r="G8" i="11" s="1"/>
  <c r="J9" i="11"/>
  <c r="G9" i="11" s="1"/>
  <c r="J10" i="11"/>
  <c r="G10" i="11" s="1"/>
  <c r="J11" i="11"/>
  <c r="G11" i="11" s="1"/>
  <c r="J12" i="11"/>
  <c r="G12" i="11" s="1"/>
  <c r="J13" i="11"/>
  <c r="G13" i="11" s="1"/>
  <c r="J14" i="11"/>
  <c r="G14" i="11" s="1"/>
  <c r="J15" i="11"/>
  <c r="G15" i="11" s="1"/>
  <c r="J16" i="11"/>
  <c r="G16" i="11" s="1"/>
  <c r="J17" i="11"/>
  <c r="G17" i="11" s="1"/>
  <c r="J18" i="11"/>
  <c r="G18" i="11" s="1"/>
  <c r="J19" i="11"/>
  <c r="G19" i="11" s="1"/>
  <c r="J20" i="11"/>
  <c r="G20" i="11" s="1"/>
  <c r="J21" i="11"/>
  <c r="G21" i="11" s="1"/>
  <c r="J22" i="11"/>
  <c r="G22" i="11" s="1"/>
  <c r="J23" i="11"/>
  <c r="G23" i="11" s="1"/>
  <c r="J24" i="11"/>
  <c r="G24" i="11" s="1"/>
  <c r="J25" i="11"/>
  <c r="G25" i="11" s="1"/>
  <c r="J26" i="11"/>
  <c r="G26" i="11" s="1"/>
  <c r="J27" i="11"/>
  <c r="G27" i="11" s="1"/>
  <c r="J28" i="11"/>
  <c r="G28" i="11" s="1"/>
  <c r="J29" i="11"/>
  <c r="G29" i="11" s="1"/>
  <c r="J30" i="11"/>
  <c r="G30" i="11" s="1"/>
  <c r="J31" i="11"/>
  <c r="G31" i="11" s="1"/>
  <c r="J32" i="11"/>
  <c r="G32" i="11" s="1"/>
  <c r="J33" i="11"/>
  <c r="G33" i="11" s="1"/>
  <c r="J34" i="11"/>
  <c r="G34" i="11" s="1"/>
  <c r="J35" i="11"/>
  <c r="G35" i="11" s="1"/>
  <c r="J36" i="11"/>
  <c r="G36" i="11" s="1"/>
  <c r="J37" i="11"/>
  <c r="G37" i="11" s="1"/>
  <c r="J38" i="11"/>
  <c r="G38" i="11" s="1"/>
  <c r="J39" i="11"/>
  <c r="G39" i="11" s="1"/>
  <c r="J40" i="11"/>
  <c r="G40" i="11" s="1"/>
  <c r="J41" i="11"/>
  <c r="G41" i="11" s="1"/>
  <c r="J42" i="11"/>
  <c r="G42" i="11" s="1"/>
  <c r="J43" i="11"/>
  <c r="G43" i="11" s="1"/>
  <c r="J44" i="11"/>
  <c r="G44" i="11" s="1"/>
  <c r="J45" i="11"/>
  <c r="G45" i="11" s="1"/>
  <c r="I3" i="11"/>
  <c r="E3" i="11" s="1"/>
  <c r="I4" i="11"/>
  <c r="E4" i="11" s="1"/>
  <c r="I5" i="11"/>
  <c r="E5" i="11" s="1"/>
  <c r="I6" i="11"/>
  <c r="E6" i="11" s="1"/>
  <c r="I7" i="11"/>
  <c r="E7" i="11" s="1"/>
  <c r="I8" i="11"/>
  <c r="E8" i="11" s="1"/>
  <c r="I9" i="11"/>
  <c r="E9" i="11" s="1"/>
  <c r="I10" i="11"/>
  <c r="E10" i="11" s="1"/>
  <c r="I11" i="11"/>
  <c r="E11" i="11" s="1"/>
  <c r="I12" i="11"/>
  <c r="E12" i="11" s="1"/>
  <c r="I13" i="11"/>
  <c r="E13" i="11" s="1"/>
  <c r="I14" i="11"/>
  <c r="E14" i="11" s="1"/>
  <c r="I15" i="11"/>
  <c r="E15" i="11" s="1"/>
  <c r="I16" i="11"/>
  <c r="E16" i="11" s="1"/>
  <c r="I17" i="11"/>
  <c r="E17" i="11" s="1"/>
  <c r="I18" i="11"/>
  <c r="E18" i="11" s="1"/>
  <c r="I19" i="11"/>
  <c r="E19" i="11" s="1"/>
  <c r="I20" i="11"/>
  <c r="E20" i="11" s="1"/>
  <c r="I21" i="11"/>
  <c r="E21" i="11" s="1"/>
  <c r="I22" i="11"/>
  <c r="E22" i="11" s="1"/>
  <c r="I23" i="11"/>
  <c r="E23" i="11" s="1"/>
  <c r="I24" i="11"/>
  <c r="E24" i="11" s="1"/>
  <c r="I25" i="11"/>
  <c r="E25" i="11" s="1"/>
  <c r="I26" i="11"/>
  <c r="E26" i="11" s="1"/>
  <c r="I27" i="11"/>
  <c r="E27" i="11" s="1"/>
  <c r="I28" i="11"/>
  <c r="E28" i="11" s="1"/>
  <c r="I29" i="11"/>
  <c r="E29" i="11" s="1"/>
  <c r="I30" i="11"/>
  <c r="E30" i="11" s="1"/>
  <c r="I31" i="11"/>
  <c r="E31" i="11" s="1"/>
  <c r="I32" i="11"/>
  <c r="E32" i="11" s="1"/>
  <c r="I33" i="11"/>
  <c r="E33" i="11" s="1"/>
  <c r="I34" i="11"/>
  <c r="E34" i="11" s="1"/>
  <c r="I35" i="11"/>
  <c r="E35" i="11" s="1"/>
  <c r="I36" i="11"/>
  <c r="E36" i="11" s="1"/>
  <c r="I37" i="11"/>
  <c r="E37" i="11" s="1"/>
  <c r="I38" i="11"/>
  <c r="E38" i="11" s="1"/>
  <c r="I39" i="11"/>
  <c r="E39" i="11" s="1"/>
  <c r="I40" i="11"/>
  <c r="E40" i="11" s="1"/>
  <c r="I41" i="11"/>
  <c r="E41" i="11" s="1"/>
  <c r="I42" i="11"/>
  <c r="E42" i="11" s="1"/>
  <c r="I43" i="11"/>
  <c r="E43" i="11" s="1"/>
  <c r="I44" i="11"/>
  <c r="E44" i="11" s="1"/>
  <c r="I45" i="11"/>
  <c r="E45" i="11" s="1"/>
  <c r="H3" i="11"/>
  <c r="C3" i="11" s="1"/>
  <c r="H4" i="11"/>
  <c r="C4" i="11" s="1"/>
  <c r="H5" i="11"/>
  <c r="C5" i="11" s="1"/>
  <c r="H6" i="11"/>
  <c r="C6" i="11" s="1"/>
  <c r="H7" i="11"/>
  <c r="C7" i="11" s="1"/>
  <c r="H8" i="11"/>
  <c r="C8" i="11" s="1"/>
  <c r="H9" i="11"/>
  <c r="C9" i="11" s="1"/>
  <c r="H10" i="11"/>
  <c r="C10" i="11" s="1"/>
  <c r="H11" i="11"/>
  <c r="C11" i="11" s="1"/>
  <c r="H12" i="11"/>
  <c r="C12" i="11" s="1"/>
  <c r="H13" i="11"/>
  <c r="C13" i="11" s="1"/>
  <c r="H14" i="11"/>
  <c r="C14" i="11" s="1"/>
  <c r="H15" i="11"/>
  <c r="C15" i="11" s="1"/>
  <c r="H16" i="11"/>
  <c r="C16" i="11" s="1"/>
  <c r="H17" i="11"/>
  <c r="C17" i="11" s="1"/>
  <c r="H18" i="11"/>
  <c r="C18" i="11" s="1"/>
  <c r="H19" i="11"/>
  <c r="C19" i="11" s="1"/>
  <c r="H20" i="11"/>
  <c r="C20" i="11" s="1"/>
  <c r="H21" i="11"/>
  <c r="C21" i="11" s="1"/>
  <c r="H22" i="11"/>
  <c r="C22" i="11" s="1"/>
  <c r="H23" i="11"/>
  <c r="C23" i="11" s="1"/>
  <c r="H24" i="11"/>
  <c r="C24" i="11" s="1"/>
  <c r="H25" i="11"/>
  <c r="C25" i="11" s="1"/>
  <c r="H26" i="11"/>
  <c r="C26" i="11" s="1"/>
  <c r="H27" i="11"/>
  <c r="C27" i="11" s="1"/>
  <c r="H28" i="11"/>
  <c r="C28" i="11" s="1"/>
  <c r="H29" i="11"/>
  <c r="C29" i="11" s="1"/>
  <c r="H30" i="11"/>
  <c r="C30" i="11" s="1"/>
  <c r="H31" i="11"/>
  <c r="C31" i="11" s="1"/>
  <c r="H32" i="11"/>
  <c r="C32" i="11" s="1"/>
  <c r="H33" i="11"/>
  <c r="C33" i="11" s="1"/>
  <c r="H34" i="11"/>
  <c r="C34" i="11" s="1"/>
  <c r="H35" i="11"/>
  <c r="C35" i="11" s="1"/>
  <c r="H36" i="11"/>
  <c r="C36" i="11" s="1"/>
  <c r="H37" i="11"/>
  <c r="C37" i="11" s="1"/>
  <c r="H38" i="11"/>
  <c r="C38" i="11" s="1"/>
  <c r="H39" i="11"/>
  <c r="C39" i="11" s="1"/>
  <c r="H40" i="11"/>
  <c r="C40" i="11" s="1"/>
  <c r="H41" i="11"/>
  <c r="C41" i="11" s="1"/>
  <c r="H42" i="11"/>
  <c r="C42" i="11" s="1"/>
  <c r="H43" i="11"/>
  <c r="C43" i="11" s="1"/>
  <c r="H44" i="11"/>
  <c r="C44" i="11" s="1"/>
  <c r="H45" i="11"/>
  <c r="C45" i="11" s="1"/>
  <c r="I2" i="11"/>
  <c r="E2" i="11" s="1"/>
  <c r="J2" i="11"/>
  <c r="G2" i="11" s="1"/>
  <c r="H2" i="11"/>
  <c r="C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2" i="11"/>
  <c r="X34" i="10"/>
  <c r="Y34" i="10"/>
  <c r="Z34" i="10"/>
  <c r="X35" i="10"/>
  <c r="Y35" i="10"/>
  <c r="Z35" i="10"/>
  <c r="X36" i="10"/>
  <c r="Y36" i="10"/>
  <c r="Z36" i="10"/>
  <c r="X37" i="10"/>
  <c r="Y37" i="10"/>
  <c r="Z37" i="10"/>
  <c r="X38" i="10"/>
  <c r="Y38" i="10"/>
  <c r="Z38" i="10"/>
  <c r="X39" i="10"/>
  <c r="Y39" i="10"/>
  <c r="Z39" i="10"/>
  <c r="C75" i="10"/>
  <c r="C76" i="10"/>
  <c r="C77" i="10"/>
  <c r="C78" i="10"/>
  <c r="C79" i="10"/>
  <c r="C80" i="10"/>
  <c r="C74" i="10"/>
  <c r="B75" i="10"/>
  <c r="B76" i="10"/>
  <c r="B77" i="10"/>
  <c r="B78" i="10"/>
  <c r="B79" i="10"/>
  <c r="B80" i="10"/>
  <c r="B74" i="10"/>
  <c r="Z41" i="10"/>
  <c r="V41" i="10" s="1"/>
  <c r="Z42" i="10"/>
  <c r="V42" i="10" s="1"/>
  <c r="Z43" i="10"/>
  <c r="V43" i="10" s="1"/>
  <c r="Z44" i="10"/>
  <c r="V44" i="10" s="1"/>
  <c r="Z45" i="10"/>
  <c r="V45" i="10" s="1"/>
  <c r="Z46" i="10"/>
  <c r="V46" i="10" s="1"/>
  <c r="Z40" i="10"/>
  <c r="V40" i="10" s="1"/>
  <c r="Y41" i="10"/>
  <c r="U41" i="10" s="1"/>
  <c r="Y42" i="10"/>
  <c r="U42" i="10" s="1"/>
  <c r="Y43" i="10"/>
  <c r="U43" i="10" s="1"/>
  <c r="Y44" i="10"/>
  <c r="U44" i="10" s="1"/>
  <c r="Y45" i="10"/>
  <c r="U45" i="10" s="1"/>
  <c r="Y46" i="10"/>
  <c r="U46" i="10" s="1"/>
  <c r="Y40" i="10"/>
  <c r="U40" i="10" s="1"/>
  <c r="X41" i="10"/>
  <c r="T41" i="10" s="1"/>
  <c r="X42" i="10"/>
  <c r="T42" i="10" s="1"/>
  <c r="X43" i="10"/>
  <c r="T43" i="10" s="1"/>
  <c r="X44" i="10"/>
  <c r="T44" i="10" s="1"/>
  <c r="X45" i="10"/>
  <c r="T45" i="10" s="1"/>
  <c r="X46" i="10"/>
  <c r="T46" i="10" s="1"/>
  <c r="X40" i="10"/>
  <c r="T40" i="10" s="1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Q40" i="10" s="1"/>
  <c r="H29" i="10"/>
  <c r="Q41" i="10" s="1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P40" i="10" s="1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C62" i="10"/>
  <c r="D62" i="10"/>
  <c r="E62" i="10"/>
  <c r="F62" i="10"/>
  <c r="G62" i="10"/>
  <c r="H62" i="10"/>
  <c r="C63" i="10"/>
  <c r="D63" i="10"/>
  <c r="E63" i="10"/>
  <c r="F63" i="10"/>
  <c r="G63" i="10"/>
  <c r="H63" i="10"/>
  <c r="C64" i="10"/>
  <c r="D64" i="10"/>
  <c r="E64" i="10"/>
  <c r="F64" i="10"/>
  <c r="G64" i="10"/>
  <c r="H64" i="10"/>
  <c r="C65" i="10"/>
  <c r="D65" i="10"/>
  <c r="E65" i="10"/>
  <c r="F65" i="10"/>
  <c r="G65" i="10"/>
  <c r="H65" i="10"/>
  <c r="H66" i="10"/>
  <c r="G66" i="10"/>
  <c r="G67" i="10"/>
  <c r="F66" i="10"/>
  <c r="F67" i="10"/>
  <c r="F68" i="10"/>
  <c r="E66" i="10"/>
  <c r="E67" i="10"/>
  <c r="E68" i="10"/>
  <c r="E69" i="10"/>
  <c r="D66" i="10"/>
  <c r="D67" i="10"/>
  <c r="D68" i="10"/>
  <c r="D69" i="10"/>
  <c r="D70" i="10"/>
  <c r="C66" i="10"/>
  <c r="C67" i="10"/>
  <c r="C68" i="10"/>
  <c r="C69" i="10"/>
  <c r="C70" i="10"/>
  <c r="C71" i="10"/>
  <c r="H31" i="10"/>
  <c r="Q43" i="10" s="1"/>
  <c r="H32" i="10"/>
  <c r="Q44" i="10" s="1"/>
  <c r="H33" i="10"/>
  <c r="Q45" i="10" s="1"/>
  <c r="H40" i="10"/>
  <c r="Q46" i="10" s="1"/>
  <c r="H30" i="10"/>
  <c r="Q42" i="10" s="1"/>
  <c r="G31" i="10"/>
  <c r="P42" i="10" s="1"/>
  <c r="G32" i="10"/>
  <c r="P43" i="10" s="1"/>
  <c r="G33" i="10"/>
  <c r="P44" i="10" s="1"/>
  <c r="G40" i="10"/>
  <c r="P45" i="10" s="1"/>
  <c r="G41" i="10"/>
  <c r="P46" i="10" s="1"/>
  <c r="G30" i="10"/>
  <c r="P41" i="10" s="1"/>
  <c r="F31" i="10"/>
  <c r="O41" i="10" s="1"/>
  <c r="F32" i="10"/>
  <c r="O42" i="10" s="1"/>
  <c r="F33" i="10"/>
  <c r="O43" i="10" s="1"/>
  <c r="F40" i="10"/>
  <c r="O44" i="10" s="1"/>
  <c r="F41" i="10"/>
  <c r="O45" i="10" s="1"/>
  <c r="F42" i="10"/>
  <c r="O46" i="10" s="1"/>
  <c r="F30" i="10"/>
  <c r="O40" i="10" s="1"/>
  <c r="E31" i="10"/>
  <c r="N40" i="10" s="1"/>
  <c r="E32" i="10"/>
  <c r="N41" i="10" s="1"/>
  <c r="E33" i="10"/>
  <c r="N42" i="10" s="1"/>
  <c r="E40" i="10"/>
  <c r="N43" i="10" s="1"/>
  <c r="E41" i="10"/>
  <c r="N44" i="10" s="1"/>
  <c r="E42" i="10"/>
  <c r="N45" i="10" s="1"/>
  <c r="E43" i="10"/>
  <c r="N46" i="10" s="1"/>
  <c r="E30" i="10"/>
  <c r="D31" i="10"/>
  <c r="D32" i="10"/>
  <c r="M40" i="10" s="1"/>
  <c r="D33" i="10"/>
  <c r="M41" i="10" s="1"/>
  <c r="D40" i="10"/>
  <c r="M42" i="10" s="1"/>
  <c r="D41" i="10"/>
  <c r="M43" i="10" s="1"/>
  <c r="D42" i="10"/>
  <c r="M44" i="10" s="1"/>
  <c r="D43" i="10"/>
  <c r="M45" i="10" s="1"/>
  <c r="D44" i="10"/>
  <c r="M46" i="10" s="1"/>
  <c r="D30" i="10"/>
  <c r="C31" i="10"/>
  <c r="C32" i="10"/>
  <c r="C33" i="10"/>
  <c r="L40" i="10" s="1"/>
  <c r="C40" i="10"/>
  <c r="L41" i="10" s="1"/>
  <c r="C41" i="10"/>
  <c r="L42" i="10" s="1"/>
  <c r="C42" i="10"/>
  <c r="L43" i="10" s="1"/>
  <c r="C43" i="10"/>
  <c r="L44" i="10" s="1"/>
  <c r="C44" i="10"/>
  <c r="L45" i="10" s="1"/>
  <c r="C45" i="10"/>
  <c r="L46" i="10" s="1"/>
  <c r="C30" i="10"/>
  <c r="B31" i="10"/>
  <c r="B32" i="10"/>
  <c r="B33" i="10"/>
  <c r="B40" i="10"/>
  <c r="K40" i="10" s="1"/>
  <c r="B41" i="10"/>
  <c r="K41" i="10" s="1"/>
  <c r="B42" i="10"/>
  <c r="K42" i="10" s="1"/>
  <c r="B43" i="10"/>
  <c r="K43" i="10" s="1"/>
  <c r="B44" i="10"/>
  <c r="K44" i="10" s="1"/>
  <c r="B45" i="10"/>
  <c r="K45" i="10" s="1"/>
  <c r="B46" i="10"/>
  <c r="K46" i="10" s="1"/>
  <c r="B30" i="10"/>
  <c r="C3" i="9"/>
  <c r="C4" i="9"/>
  <c r="C5" i="9"/>
  <c r="C6" i="9"/>
  <c r="C7" i="9"/>
  <c r="C8" i="9"/>
  <c r="C9" i="9"/>
  <c r="C10" i="9"/>
  <c r="C11" i="9"/>
  <c r="C12" i="9"/>
  <c r="C13" i="9"/>
  <c r="C14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2" i="8"/>
  <c r="F2" i="13" l="1"/>
  <c r="E2" i="13"/>
  <c r="B3" i="7"/>
  <c r="B4" i="7"/>
  <c r="B5" i="7"/>
  <c r="B6" i="7"/>
  <c r="B7" i="7"/>
  <c r="B8" i="7"/>
  <c r="B9" i="7"/>
  <c r="B10" i="7"/>
  <c r="B11" i="7"/>
  <c r="B12" i="7"/>
  <c r="B2" i="7"/>
  <c r="L2" i="7"/>
  <c r="K3" i="7"/>
  <c r="K2" i="7"/>
  <c r="J3" i="7"/>
  <c r="J4" i="7"/>
  <c r="J2" i="7"/>
  <c r="I3" i="7"/>
  <c r="I4" i="7"/>
  <c r="I5" i="7"/>
  <c r="I2" i="7"/>
  <c r="H3" i="7"/>
  <c r="H4" i="7"/>
  <c r="H5" i="7"/>
  <c r="H6" i="7"/>
  <c r="H2" i="7"/>
  <c r="G3" i="7"/>
  <c r="G4" i="7"/>
  <c r="G5" i="7"/>
  <c r="G6" i="7"/>
  <c r="G7" i="7"/>
  <c r="G2" i="7"/>
  <c r="F3" i="7"/>
  <c r="F4" i="7"/>
  <c r="F5" i="7"/>
  <c r="F6" i="7"/>
  <c r="F7" i="7"/>
  <c r="F8" i="7"/>
  <c r="F2" i="7"/>
  <c r="E3" i="7"/>
  <c r="E4" i="7"/>
  <c r="E5" i="7"/>
  <c r="E6" i="7"/>
  <c r="E7" i="7"/>
  <c r="E8" i="7"/>
  <c r="E9" i="7"/>
  <c r="E2" i="7"/>
  <c r="D3" i="7"/>
  <c r="D4" i="7"/>
  <c r="D5" i="7"/>
  <c r="D6" i="7"/>
  <c r="D7" i="7"/>
  <c r="D8" i="7"/>
  <c r="D9" i="7"/>
  <c r="D10" i="7"/>
  <c r="D2" i="7"/>
  <c r="C3" i="7"/>
  <c r="C4" i="7"/>
  <c r="C5" i="7"/>
  <c r="C6" i="7"/>
  <c r="C7" i="7"/>
  <c r="C8" i="7"/>
  <c r="C9" i="7"/>
  <c r="C10" i="7"/>
  <c r="C11" i="7"/>
  <c r="C2" i="7"/>
</calcChain>
</file>

<file path=xl/comments1.xml><?xml version="1.0" encoding="utf-8"?>
<comments xmlns="http://schemas.openxmlformats.org/spreadsheetml/2006/main">
  <authors>
    <author>作者</author>
  </authors>
  <commentList>
    <comment ref="H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DNU（Daily New Users）： 每日游戏中的新登入用户数量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日活跃用户</t>
        </r>
      </text>
    </comment>
    <comment ref="O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APA（Active Payment Account）：活跃付费用户数
</t>
        </r>
      </text>
    </comment>
  </commentList>
</comments>
</file>

<file path=xl/sharedStrings.xml><?xml version="1.0" encoding="utf-8"?>
<sst xmlns="http://schemas.openxmlformats.org/spreadsheetml/2006/main" count="609" uniqueCount="290">
  <si>
    <t>渠道ID</t>
    <phoneticPr fontId="1" type="noConversion"/>
  </si>
  <si>
    <t>日期</t>
    <phoneticPr fontId="1" type="noConversion"/>
  </si>
  <si>
    <t>展现</t>
    <phoneticPr fontId="1" type="noConversion"/>
  </si>
  <si>
    <t>点击</t>
    <phoneticPr fontId="1" type="noConversion"/>
  </si>
  <si>
    <t>转化</t>
    <phoneticPr fontId="1" type="noConversion"/>
  </si>
  <si>
    <t>单价</t>
    <phoneticPr fontId="1" type="noConversion"/>
  </si>
  <si>
    <t>注册</t>
    <phoneticPr fontId="1" type="noConversion"/>
  </si>
  <si>
    <t>成本</t>
    <phoneticPr fontId="1" type="noConversion"/>
  </si>
  <si>
    <t xml:space="preserve"> =转化*单价</t>
    <phoneticPr fontId="1" type="noConversion"/>
  </si>
  <si>
    <t>渠道名称</t>
    <phoneticPr fontId="1" type="noConversion"/>
  </si>
  <si>
    <t>所属渠道ID</t>
    <phoneticPr fontId="1" type="noConversion"/>
  </si>
  <si>
    <t>新增</t>
    <phoneticPr fontId="1" type="noConversion"/>
  </si>
  <si>
    <t>2日</t>
    <phoneticPr fontId="1" type="noConversion"/>
  </si>
  <si>
    <t>3日</t>
  </si>
  <si>
    <t>3日</t>
    <phoneticPr fontId="1" type="noConversion"/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</si>
  <si>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</si>
  <si>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</si>
  <si>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</si>
  <si>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</si>
  <si>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</si>
  <si>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</si>
  <si>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</si>
  <si>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</si>
  <si>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</si>
  <si>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</si>
  <si>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</si>
  <si>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</si>
  <si>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</si>
  <si>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</si>
  <si>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</si>
  <si>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</si>
  <si>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</si>
  <si>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</si>
  <si>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</si>
  <si>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</si>
  <si>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</si>
  <si>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</si>
  <si>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</si>
  <si>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</si>
  <si>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</si>
  <si>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</si>
  <si>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</si>
  <si>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广告表现</t>
    <phoneticPr fontId="1" type="noConversion"/>
  </si>
  <si>
    <t>留存表现</t>
    <phoneticPr fontId="1" type="noConversion"/>
  </si>
  <si>
    <t>留存表</t>
    <phoneticPr fontId="1" type="noConversion"/>
  </si>
  <si>
    <t>渠道表</t>
    <phoneticPr fontId="1" type="noConversion"/>
  </si>
  <si>
    <t>备注</t>
    <phoneticPr fontId="1" type="noConversion"/>
  </si>
  <si>
    <t>facebook</t>
    <phoneticPr fontId="1" type="noConversion"/>
  </si>
  <si>
    <t>广告平台API</t>
    <phoneticPr fontId="1" type="noConversion"/>
  </si>
  <si>
    <t>计算</t>
    <phoneticPr fontId="1" type="noConversion"/>
  </si>
  <si>
    <t>游戏平台追踪</t>
    <phoneticPr fontId="1" type="noConversion"/>
  </si>
  <si>
    <t>日期</t>
    <phoneticPr fontId="1" type="noConversion"/>
  </si>
  <si>
    <t>用户付费</t>
    <phoneticPr fontId="1" type="noConversion"/>
  </si>
  <si>
    <t>付费表</t>
    <phoneticPr fontId="1" type="noConversion"/>
  </si>
  <si>
    <t>日期</t>
    <phoneticPr fontId="1" type="noConversion"/>
  </si>
  <si>
    <t>人数</t>
    <phoneticPr fontId="1" type="noConversion"/>
  </si>
  <si>
    <t>逗号前为金额，后为付费人数</t>
    <phoneticPr fontId="1" type="noConversion"/>
  </si>
  <si>
    <t>付费用户</t>
    <phoneticPr fontId="1" type="noConversion"/>
  </si>
  <si>
    <t>日期</t>
    <phoneticPr fontId="1" type="noConversion"/>
  </si>
  <si>
    <t>新增</t>
    <phoneticPr fontId="1" type="noConversion"/>
  </si>
  <si>
    <t>活跃</t>
    <phoneticPr fontId="1" type="noConversion"/>
  </si>
  <si>
    <t>留存</t>
    <phoneticPr fontId="1" type="noConversion"/>
  </si>
  <si>
    <t>从该渠道创建游戏角色算1新增</t>
    <phoneticPr fontId="1" type="noConversion"/>
  </si>
  <si>
    <t>该渠道创建角色的用户今日登陆过就+1</t>
    <phoneticPr fontId="1" type="noConversion"/>
  </si>
  <si>
    <t>取次留</t>
    <phoneticPr fontId="1" type="noConversion"/>
  </si>
  <si>
    <t>该渠道的用户今天付费总额</t>
    <phoneticPr fontId="1" type="noConversion"/>
  </si>
  <si>
    <t>新增</t>
    <phoneticPr fontId="1" type="noConversion"/>
  </si>
  <si>
    <t>活跃</t>
    <phoneticPr fontId="1" type="noConversion"/>
  </si>
  <si>
    <t>付费</t>
    <phoneticPr fontId="1" type="noConversion"/>
  </si>
  <si>
    <t>单价</t>
    <phoneticPr fontId="1" type="noConversion"/>
  </si>
  <si>
    <t>DATE</t>
    <phoneticPr fontId="1" type="noConversion"/>
  </si>
  <si>
    <t>该渠道的用户的首次付费日为该渠道当日新增+1</t>
    <phoneticPr fontId="1" type="noConversion"/>
  </si>
  <si>
    <t>该渠道今日付款人数</t>
    <phoneticPr fontId="1" type="noConversion"/>
  </si>
  <si>
    <t>留存（</t>
    <phoneticPr fontId="1" type="noConversion"/>
  </si>
  <si>
    <t>DATE</t>
    <phoneticPr fontId="1" type="noConversion"/>
  </si>
  <si>
    <t>付费率</t>
    <phoneticPr fontId="1" type="noConversion"/>
  </si>
  <si>
    <t>付费人数 / 日活</t>
    <phoneticPr fontId="1" type="noConversion"/>
  </si>
  <si>
    <t>平均在线时长</t>
  </si>
  <si>
    <t>all 在线时长 / DAU</t>
    <phoneticPr fontId="1" type="noConversion"/>
  </si>
  <si>
    <t>等级分布</t>
    <phoneticPr fontId="1" type="noConversion"/>
  </si>
  <si>
    <t>新增用户平均等级</t>
    <phoneticPr fontId="1" type="noConversion"/>
  </si>
  <si>
    <t>-</t>
    <phoneticPr fontId="1" type="noConversion"/>
  </si>
  <si>
    <t>≈留存逻辑</t>
    <phoneticPr fontId="1" type="noConversion"/>
  </si>
  <si>
    <t>付费</t>
    <phoneticPr fontId="1" type="noConversion"/>
  </si>
  <si>
    <t>新增付费</t>
    <phoneticPr fontId="1" type="noConversion"/>
  </si>
  <si>
    <t xml:space="preserve"> = 新增付费 / 新增</t>
    <phoneticPr fontId="1" type="noConversion"/>
  </si>
  <si>
    <t>新增用户付费总额</t>
    <phoneticPr fontId="1" type="noConversion"/>
  </si>
  <si>
    <t>新增付费人数</t>
    <phoneticPr fontId="1" type="noConversion"/>
  </si>
  <si>
    <t>广告时长</t>
    <phoneticPr fontId="1" type="noConversion"/>
  </si>
  <si>
    <t>广告结束-广告结束</t>
    <phoneticPr fontId="1" type="noConversion"/>
  </si>
  <si>
    <t>成本</t>
    <phoneticPr fontId="1" type="noConversion"/>
  </si>
  <si>
    <t>新增用户单价</t>
    <phoneticPr fontId="1" type="noConversion"/>
  </si>
  <si>
    <t>新增付费用户单价</t>
    <phoneticPr fontId="1" type="noConversion"/>
  </si>
  <si>
    <t xml:space="preserve"> </t>
    <phoneticPr fontId="1" type="noConversion"/>
  </si>
  <si>
    <t>付费人数</t>
    <phoneticPr fontId="1" type="noConversion"/>
  </si>
  <si>
    <t>DAU ARPPU</t>
    <phoneticPr fontId="1" type="noConversion"/>
  </si>
  <si>
    <t>付费ARPPU</t>
    <phoneticPr fontId="1" type="noConversion"/>
  </si>
  <si>
    <t>人均付费DAU ARPPU</t>
  </si>
  <si>
    <t>付费的人ARPPU</t>
  </si>
  <si>
    <t>10档</t>
    <phoneticPr fontId="1" type="noConversion"/>
  </si>
  <si>
    <t>日期</t>
    <phoneticPr fontId="1" type="noConversion"/>
  </si>
  <si>
    <t>DAY1</t>
    <phoneticPr fontId="1" type="noConversion"/>
  </si>
  <si>
    <t xml:space="preserve">DAY2 </t>
    <phoneticPr fontId="1" type="noConversion"/>
  </si>
  <si>
    <t>DAY3</t>
    <phoneticPr fontId="1" type="noConversion"/>
  </si>
  <si>
    <t>DAY7</t>
    <phoneticPr fontId="1" type="noConversion"/>
  </si>
  <si>
    <t>DAY21</t>
    <phoneticPr fontId="1" type="noConversion"/>
  </si>
  <si>
    <t>DAY14</t>
    <phoneticPr fontId="1" type="noConversion"/>
  </si>
  <si>
    <t>DAY30</t>
    <phoneticPr fontId="1" type="noConversion"/>
  </si>
  <si>
    <t>DAY60</t>
    <phoneticPr fontId="1" type="noConversion"/>
  </si>
  <si>
    <t>TOKEN1.2.3.4.5</t>
    <phoneticPr fontId="1" type="noConversion"/>
  </si>
  <si>
    <t>30，80，70，60，10</t>
    <phoneticPr fontId="1" type="noConversion"/>
  </si>
  <si>
    <t>DATE</t>
    <phoneticPr fontId="1" type="noConversion"/>
  </si>
  <si>
    <t>日期</t>
  </si>
  <si>
    <t>首次付费用户ARPPU</t>
    <phoneticPr fontId="1" type="noConversion"/>
  </si>
  <si>
    <t>活跃用户ARPPU</t>
    <phoneticPr fontId="1" type="noConversion"/>
  </si>
  <si>
    <t>付费用户ARPPU</t>
    <phoneticPr fontId="1" type="noConversion"/>
  </si>
  <si>
    <t>日期</t>
    <phoneticPr fontId="1" type="noConversion"/>
  </si>
  <si>
    <t>收入（K）</t>
    <phoneticPr fontId="1" type="noConversion"/>
  </si>
  <si>
    <t>支出（K）</t>
    <phoneticPr fontId="1" type="noConversion"/>
  </si>
  <si>
    <t>新增</t>
  </si>
  <si>
    <t>新增</t>
    <phoneticPr fontId="1" type="noConversion"/>
  </si>
  <si>
    <t>2日</t>
  </si>
  <si>
    <t>2日</t>
    <phoneticPr fontId="1" type="noConversion"/>
  </si>
  <si>
    <t>3日</t>
    <phoneticPr fontId="1" type="noConversion"/>
  </si>
  <si>
    <t>4日</t>
    <phoneticPr fontId="1" type="noConversion"/>
  </si>
  <si>
    <t>5日</t>
    <phoneticPr fontId="1" type="noConversion"/>
  </si>
  <si>
    <t>6日</t>
    <phoneticPr fontId="1" type="noConversion"/>
  </si>
  <si>
    <t>7日</t>
    <phoneticPr fontId="1" type="noConversion"/>
  </si>
  <si>
    <t>日期</t>
    <phoneticPr fontId="1" type="noConversion"/>
  </si>
  <si>
    <t>新增</t>
    <phoneticPr fontId="1" type="noConversion"/>
  </si>
  <si>
    <t>次留</t>
    <phoneticPr fontId="1" type="noConversion"/>
  </si>
  <si>
    <t>3日留存</t>
    <phoneticPr fontId="1" type="noConversion"/>
  </si>
  <si>
    <t>4日留存</t>
    <phoneticPr fontId="1" type="noConversion"/>
  </si>
  <si>
    <t>5日留存</t>
    <phoneticPr fontId="1" type="noConversion"/>
  </si>
  <si>
    <t>6日留存</t>
    <phoneticPr fontId="1" type="noConversion"/>
  </si>
  <si>
    <t>7日留存</t>
    <phoneticPr fontId="1" type="noConversion"/>
  </si>
  <si>
    <t>新增用户平均在线时长</t>
    <phoneticPr fontId="1" type="noConversion"/>
  </si>
  <si>
    <t>付费用户平均在线时长</t>
    <phoneticPr fontId="1" type="noConversion"/>
  </si>
  <si>
    <t>活跃用户平均在线时长</t>
    <phoneticPr fontId="1" type="noConversion"/>
  </si>
  <si>
    <t>新增用户</t>
    <phoneticPr fontId="1" type="noConversion"/>
  </si>
  <si>
    <t>活跃用户</t>
    <phoneticPr fontId="1" type="noConversion"/>
  </si>
  <si>
    <t>日期</t>
    <phoneticPr fontId="1" type="noConversion"/>
  </si>
  <si>
    <t>新增单价</t>
    <phoneticPr fontId="1" type="noConversion"/>
  </si>
  <si>
    <t>付费单价</t>
    <phoneticPr fontId="1" type="noConversion"/>
  </si>
  <si>
    <t>新增用户数</t>
    <phoneticPr fontId="1" type="noConversion"/>
  </si>
  <si>
    <t>新增用户平均在线时长</t>
    <phoneticPr fontId="1" type="noConversion"/>
  </si>
  <si>
    <t>付费用户数</t>
    <phoneticPr fontId="1" type="noConversion"/>
  </si>
  <si>
    <t>付费用户平均在线时长</t>
    <phoneticPr fontId="1" type="noConversion"/>
  </si>
  <si>
    <t>活跃用户数</t>
    <phoneticPr fontId="1" type="noConversion"/>
  </si>
  <si>
    <t>活跃用户平均在线时长</t>
    <phoneticPr fontId="1" type="noConversion"/>
  </si>
  <si>
    <t>日期</t>
    <phoneticPr fontId="1" type="noConversion"/>
  </si>
  <si>
    <t>2日</t>
    <phoneticPr fontId="1" type="noConversion"/>
  </si>
  <si>
    <t>3日</t>
    <phoneticPr fontId="1" type="noConversion"/>
  </si>
  <si>
    <t>日期</t>
    <phoneticPr fontId="1" type="noConversion"/>
  </si>
  <si>
    <t>新增用户付费数</t>
    <phoneticPr fontId="1" type="noConversion"/>
  </si>
  <si>
    <t>新增用户付费总额</t>
    <phoneticPr fontId="1" type="noConversion"/>
  </si>
  <si>
    <t>活跃数</t>
    <phoneticPr fontId="1" type="noConversion"/>
  </si>
  <si>
    <t>累计付费</t>
    <phoneticPr fontId="1" type="noConversion"/>
  </si>
  <si>
    <t>付费用户</t>
    <phoneticPr fontId="1" type="noConversion"/>
  </si>
  <si>
    <t>日总付费</t>
    <phoneticPr fontId="1" type="noConversion"/>
  </si>
  <si>
    <t>首充用户</t>
    <phoneticPr fontId="1" type="noConversion"/>
  </si>
  <si>
    <t>首充总额</t>
    <phoneticPr fontId="1" type="noConversion"/>
  </si>
  <si>
    <t>平均首充</t>
    <phoneticPr fontId="1" type="noConversion"/>
  </si>
  <si>
    <t>活跃ARPPU</t>
    <phoneticPr fontId="1" type="noConversion"/>
  </si>
  <si>
    <t>付费用户ARPPU</t>
    <phoneticPr fontId="1" type="noConversion"/>
  </si>
  <si>
    <t>新增用户ARPPU</t>
    <phoneticPr fontId="1" type="noConversion"/>
  </si>
  <si>
    <t>新增用户付费用户ARPPU</t>
    <phoneticPr fontId="1" type="noConversion"/>
  </si>
  <si>
    <t>创建人</t>
    <phoneticPr fontId="1" type="noConversion"/>
  </si>
  <si>
    <t>创建时间</t>
    <phoneticPr fontId="1" type="noConversion"/>
  </si>
  <si>
    <t>DAU</t>
    <phoneticPr fontId="1" type="noConversion"/>
  </si>
  <si>
    <t>DNU</t>
    <phoneticPr fontId="1" type="noConversion"/>
  </si>
  <si>
    <t>总收入</t>
    <phoneticPr fontId="1" type="noConversion"/>
  </si>
  <si>
    <t>总收入</t>
    <phoneticPr fontId="1" type="noConversion"/>
  </si>
  <si>
    <t>WAU</t>
    <phoneticPr fontId="1" type="noConversion"/>
  </si>
  <si>
    <t>MAU</t>
    <phoneticPr fontId="1" type="noConversion"/>
  </si>
  <si>
    <t>N/A</t>
    <phoneticPr fontId="1" type="noConversion"/>
  </si>
  <si>
    <t>DPU</t>
    <phoneticPr fontId="1" type="noConversion"/>
  </si>
  <si>
    <t>WPU</t>
    <phoneticPr fontId="1" type="noConversion"/>
  </si>
  <si>
    <t>MPU</t>
    <phoneticPr fontId="1" type="noConversion"/>
  </si>
  <si>
    <t>MPU (Monthly Paying User）：每月付费用户，月底统计，其余空值</t>
  </si>
  <si>
    <t>WAU（Weekly Active User）周活跃用户，每周登录过游戏的用户数，周日统计，其余空值</t>
    <phoneticPr fontId="1" type="noConversion"/>
  </si>
  <si>
    <t>DARPU</t>
    <phoneticPr fontId="1" type="noConversion"/>
  </si>
  <si>
    <t>WARPU</t>
    <phoneticPr fontId="1" type="noConversion"/>
  </si>
  <si>
    <t>MARPU</t>
    <phoneticPr fontId="1" type="noConversion"/>
  </si>
  <si>
    <t>WARPU(Weekly Average Revenue Per User) ：每周平均每用户收入，即 每周总收入/WAU，每周日统计，其余空值</t>
    <phoneticPr fontId="1" type="noConversion"/>
  </si>
  <si>
    <t>MARPU(Monthly Average Revenue Per User) ：每月平均每用户收入，即 每月总收入/MAU，每月底统计，其余空值</t>
    <phoneticPr fontId="1" type="noConversion"/>
  </si>
  <si>
    <t>DPUR</t>
    <phoneticPr fontId="1" type="noConversion"/>
  </si>
  <si>
    <t>WPUR</t>
    <phoneticPr fontId="1" type="noConversion"/>
  </si>
  <si>
    <t>MPUR</t>
    <phoneticPr fontId="1" type="noConversion"/>
  </si>
  <si>
    <t>DPUR(Daily Pay User Rate)：日付费比率，DPU/DAU</t>
    <phoneticPr fontId="1" type="noConversion"/>
  </si>
  <si>
    <t>DARPPU</t>
    <phoneticPr fontId="1" type="noConversion"/>
  </si>
  <si>
    <t>WARPPU</t>
    <phoneticPr fontId="1" type="noConversion"/>
  </si>
  <si>
    <t>MARPPU</t>
    <phoneticPr fontId="1" type="noConversion"/>
  </si>
  <si>
    <t>WARPPU（Weekly Average Revenue Per Paying User）周平均每付费用户收入，周总收入/WPU，周日统计其余空</t>
    <phoneticPr fontId="1" type="noConversion"/>
  </si>
  <si>
    <t>当日所有用户使用总时长</t>
    <phoneticPr fontId="1" type="noConversion"/>
  </si>
  <si>
    <t>当日所有用户总登录次数，包含单一用户重复登陆</t>
    <phoneticPr fontId="1" type="noConversion"/>
  </si>
  <si>
    <t>当日新增用户累计使用时长</t>
    <phoneticPr fontId="1" type="noConversion"/>
  </si>
  <si>
    <t>当日付费用户累计使用时长</t>
    <phoneticPr fontId="1" type="noConversion"/>
  </si>
  <si>
    <t>新增用户使用时长（秒）</t>
    <phoneticPr fontId="1" type="noConversion"/>
  </si>
  <si>
    <t xml:space="preserve"> =新增用户使用时长/DAU</t>
    <phoneticPr fontId="1" type="noConversion"/>
  </si>
  <si>
    <t>付费用户使用时长（秒）</t>
    <phoneticPr fontId="1" type="noConversion"/>
  </si>
  <si>
    <t xml:space="preserve"> =付费用户使用时长/DAU</t>
    <phoneticPr fontId="1" type="noConversion"/>
  </si>
  <si>
    <t>付费用户平均使用（秒）</t>
    <phoneticPr fontId="1" type="noConversion"/>
  </si>
  <si>
    <t>活跃用户平均使用（秒）</t>
    <phoneticPr fontId="1" type="noConversion"/>
  </si>
  <si>
    <t>活跃用户使用时长（秒）</t>
    <phoneticPr fontId="1" type="noConversion"/>
  </si>
  <si>
    <t xml:space="preserve"> =活跃用户使用时长/DAU</t>
    <phoneticPr fontId="1" type="noConversion"/>
  </si>
  <si>
    <t>DNUPR</t>
    <phoneticPr fontId="1" type="noConversion"/>
  </si>
  <si>
    <t>DNUP</t>
    <phoneticPr fontId="1" type="noConversion"/>
  </si>
  <si>
    <t>WNUPR</t>
    <phoneticPr fontId="1" type="noConversion"/>
  </si>
  <si>
    <t>MNUPR</t>
    <phoneticPr fontId="1" type="noConversion"/>
  </si>
  <si>
    <t>DNUP（Daily New User Paying）每日新增用户中付费用户数</t>
    <phoneticPr fontId="1" type="noConversion"/>
  </si>
  <si>
    <t>FPR</t>
    <phoneticPr fontId="1" type="noConversion"/>
  </si>
  <si>
    <t>广告平台API</t>
    <phoneticPr fontId="1" type="noConversion"/>
  </si>
  <si>
    <t>读取权限</t>
    <phoneticPr fontId="1" type="noConversion"/>
  </si>
  <si>
    <t>编辑权限</t>
    <phoneticPr fontId="1" type="noConversion"/>
  </si>
  <si>
    <t>回传API</t>
    <phoneticPr fontId="1" type="noConversion"/>
  </si>
  <si>
    <t>渠道track link</t>
    <phoneticPr fontId="1" type="noConversion"/>
  </si>
  <si>
    <t>人数</t>
    <phoneticPr fontId="1" type="noConversion"/>
  </si>
  <si>
    <t>首充</t>
    <phoneticPr fontId="1" type="noConversion"/>
  </si>
  <si>
    <t>金额</t>
    <phoneticPr fontId="1" type="noConversion"/>
  </si>
  <si>
    <t>人数</t>
    <phoneticPr fontId="1" type="noConversion"/>
  </si>
  <si>
    <t>金额</t>
    <phoneticPr fontId="1" type="noConversion"/>
  </si>
  <si>
    <t>人数</t>
    <phoneticPr fontId="1" type="noConversion"/>
  </si>
  <si>
    <t>金额</t>
    <phoneticPr fontId="1" type="noConversion"/>
  </si>
  <si>
    <t>14日</t>
    <phoneticPr fontId="1" type="noConversion"/>
  </si>
  <si>
    <t>30日</t>
    <phoneticPr fontId="1" type="noConversion"/>
  </si>
  <si>
    <t>T001</t>
    <phoneticPr fontId="1" type="noConversion"/>
  </si>
  <si>
    <t>T002</t>
    <phoneticPr fontId="1" type="noConversion"/>
  </si>
  <si>
    <t>T003</t>
    <phoneticPr fontId="1" type="noConversion"/>
  </si>
  <si>
    <t>T001</t>
    <phoneticPr fontId="1" type="noConversion"/>
  </si>
  <si>
    <t>所属服务器ID</t>
    <phoneticPr fontId="1" type="noConversion"/>
  </si>
  <si>
    <t>所属游戏ID</t>
    <phoneticPr fontId="1" type="noConversion"/>
  </si>
  <si>
    <t>ARPFPU</t>
    <phoneticPr fontId="1" type="noConversion"/>
  </si>
  <si>
    <t>FPU</t>
    <phoneticPr fontId="1" type="noConversion"/>
  </si>
  <si>
    <t>FPU（First Paying User）每日首充用户数</t>
    <phoneticPr fontId="1" type="noConversion"/>
  </si>
  <si>
    <t>WNUP</t>
    <phoneticPr fontId="1" type="noConversion"/>
  </si>
  <si>
    <t>MNUP</t>
    <phoneticPr fontId="1" type="noConversion"/>
  </si>
  <si>
    <t>MNUP（Monthly New User Paying）每月新增用户中付费用户数</t>
    <phoneticPr fontId="1" type="noConversion"/>
  </si>
  <si>
    <t>WNUPR(Weekly New User Pay Rate）周均新用户支付率，=WNUP/周新增总和，周日统计，其余空</t>
    <phoneticPr fontId="1" type="noConversion"/>
  </si>
  <si>
    <t>CUSTOM2</t>
    <phoneticPr fontId="1" type="noConversion"/>
  </si>
  <si>
    <t>CUSTOM1</t>
  </si>
  <si>
    <t>CUSTOM3</t>
  </si>
  <si>
    <t>CUSTOM4</t>
  </si>
  <si>
    <t>CUSTOM5</t>
  </si>
  <si>
    <t>CUSTOM6</t>
  </si>
  <si>
    <t>CUSTOM7</t>
  </si>
  <si>
    <t>CUSTOM8</t>
  </si>
  <si>
    <t>CUSTOM9</t>
  </si>
  <si>
    <t>CUSTOM10</t>
  </si>
  <si>
    <t>自定义事件（参数）回传数量</t>
    <phoneticPr fontId="1" type="noConversion"/>
  </si>
  <si>
    <t>/$alkwhoi/asmnkhih123-hsinj.jsp</t>
    <phoneticPr fontId="1" type="noConversion"/>
  </si>
  <si>
    <t>G00123</t>
    <phoneticPr fontId="1" type="noConversion"/>
  </si>
  <si>
    <t>S0003456</t>
    <phoneticPr fontId="1" type="noConversion"/>
  </si>
  <si>
    <t>Admin</t>
    <phoneticPr fontId="1" type="noConversion"/>
  </si>
  <si>
    <t>longzhu测试渠道</t>
    <phoneticPr fontId="1" type="noConversion"/>
  </si>
  <si>
    <t>2月（60日）</t>
    <phoneticPr fontId="1" type="noConversion"/>
  </si>
  <si>
    <t>5周（35日）</t>
    <phoneticPr fontId="1" type="noConversion"/>
  </si>
  <si>
    <t>6周（42日）</t>
    <phoneticPr fontId="1" type="noConversion"/>
  </si>
  <si>
    <t>7周（49日）</t>
    <phoneticPr fontId="1" type="noConversion"/>
  </si>
  <si>
    <t>8周（56日）</t>
    <phoneticPr fontId="1" type="noConversion"/>
  </si>
  <si>
    <t>2月（60日）</t>
    <phoneticPr fontId="1" type="noConversion"/>
  </si>
  <si>
    <t>3月（90日）</t>
    <phoneticPr fontId="1" type="noConversion"/>
  </si>
  <si>
    <t>4月（120日）</t>
    <phoneticPr fontId="1" type="noConversion"/>
  </si>
  <si>
    <t>3周（21日）</t>
    <phoneticPr fontId="1" type="noConversion"/>
  </si>
  <si>
    <t>DNU（Daily New Users）： 每日游戏中的新登入用户数量</t>
    <phoneticPr fontId="1" type="noConversion"/>
  </si>
  <si>
    <t>DAU（Daily Active User）日活跃用户，每日登录过游戏的用户数</t>
    <phoneticPr fontId="1" type="noConversion"/>
  </si>
  <si>
    <t>MAU（Monthly Active User）月活跃用户，每月登录过游戏的用户数，月底统计，其余空值</t>
    <phoneticPr fontId="1" type="noConversion"/>
  </si>
  <si>
    <t>WNUP（Weekly New User Paying）每周新增用户中付费用户数</t>
    <phoneticPr fontId="1" type="noConversion"/>
  </si>
  <si>
    <t>DNUR</t>
    <phoneticPr fontId="1" type="noConversion"/>
  </si>
  <si>
    <t>DNUR(Daily New User Revenue)日新增用户消费金额</t>
    <phoneticPr fontId="1" type="noConversion"/>
  </si>
  <si>
    <t>WNUR（Weekly New User Revenue）周新增用户消费金额</t>
    <phoneticPr fontId="1" type="noConversion"/>
  </si>
  <si>
    <t>MNUR（Monthly New User Revenue）月新增用户消费金额</t>
    <phoneticPr fontId="1" type="noConversion"/>
  </si>
  <si>
    <t>MNUR</t>
    <phoneticPr fontId="1" type="noConversion"/>
  </si>
  <si>
    <t>WNUR</t>
    <phoneticPr fontId="1" type="noConversion"/>
  </si>
  <si>
    <t>N/A</t>
    <phoneticPr fontId="1" type="noConversion"/>
  </si>
  <si>
    <t>DPU (Daily Paying User）：每日付费用户</t>
    <phoneticPr fontId="1" type="noConversion"/>
  </si>
  <si>
    <t>WPU (Weekly Paying User）：每周付费用户，周日统计，其余空值</t>
    <phoneticPr fontId="1" type="noConversion"/>
  </si>
  <si>
    <t>WPUR(Weekly Pay User Rate)：周付费比率，WPU/WAU，周日统计，其余空值</t>
    <phoneticPr fontId="1" type="noConversion"/>
  </si>
  <si>
    <t>MPUR(Monthly Pay User Rate)：月付费比率，MPU/MAU，月底统计，其余空值</t>
    <phoneticPr fontId="1" type="noConversion"/>
  </si>
  <si>
    <t>FPR(First Paying Revenue）首冲金额</t>
    <phoneticPr fontId="1" type="noConversion"/>
  </si>
  <si>
    <t>ARPFPU(Avenge Revenue Per First Paying User）首充用户平均付费，=FPR/FPU</t>
    <phoneticPr fontId="1" type="noConversion"/>
  </si>
  <si>
    <t>DARPU(Daily Average Revenue Per User) ：每日平均每用户收入，即 总收入/DAU </t>
    <phoneticPr fontId="1" type="noConversion"/>
  </si>
  <si>
    <t>DARPPU（Daily Average Revenue Per Paying User）每日平均每付费用户收入，总收入/DPU</t>
    <phoneticPr fontId="1" type="noConversion"/>
  </si>
  <si>
    <t>MARPPU（Monthly Average Revenue Per Paying User）月平均每付费用户收入，月总收入/MPU，月底统计其余空</t>
    <phoneticPr fontId="1" type="noConversion"/>
  </si>
  <si>
    <t>DNUPR(Daily New User Pay Rate）日均新用户支付率，=DNUP/DNU</t>
    <phoneticPr fontId="1" type="noConversion"/>
  </si>
  <si>
    <t>MNUPR(Monthly New User Pay Rate）月均新用户支付率，=WNUP/月新增总和，月底统计其余空</t>
    <phoneticPr fontId="1" type="noConversion"/>
  </si>
  <si>
    <t>登录次数</t>
    <phoneticPr fontId="1" type="noConversion"/>
  </si>
  <si>
    <t>平均登录次数</t>
    <phoneticPr fontId="1" type="noConversion"/>
  </si>
  <si>
    <t xml:space="preserve"> =登录次数/DAU</t>
    <phoneticPr fontId="1" type="noConversion"/>
  </si>
  <si>
    <t>新增平均使用（秒）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</si>
</sst>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¥&quot;* #,##0.00_ ;_ &quot;¥&quot;* \-#,##0.00_ ;_ &quot;¥&quot;* &quot;-&quot;??_ ;_ @_ "/>
    <numFmt numFmtId="176" formatCode="&quot;¥&quot;#,##0.00_);[Red]\(&quot;¥&quot;#,##0.00\)"/>
    <numFmt numFmtId="177" formatCode="0_);[Red]\(0\)"/>
    <numFmt numFmtId="178" formatCode="0.00_);[Red]\(0.00\)"/>
    <numFmt numFmtId="179" formatCode="0_ "/>
    <numFmt numFmtId="180" formatCode="[$R$-416]#,##0.00;\-[$R$-416]#,##0.00"/>
  </numFmts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00B0F0"/>
      <name val="宋体"/>
      <family val="2"/>
      <scheme val="minor"/>
    </font>
    <font>
      <sz val="11"/>
      <color rgb="FF00B0F0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i/>
      <sz val="11"/>
      <color rgb="FF0070C0"/>
      <name val="宋体"/>
      <family val="3"/>
      <charset val="134"/>
      <scheme val="minor"/>
    </font>
    <font>
      <i/>
      <sz val="11"/>
      <color rgb="FF0070C0"/>
      <name val="宋体"/>
      <family val="3"/>
      <charset val="134"/>
      <scheme val="maj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180" fontId="0" fillId="0" borderId="0"/>
    <xf numFmtId="180" fontId="3" fillId="0" borderId="0" applyNumberFormat="0" applyFill="0" applyBorder="0" applyAlignment="0" applyProtection="0"/>
    <xf numFmtId="9" fontId="9" fillId="0" borderId="0" applyFont="0" applyFill="0" applyBorder="0" applyAlignment="0" applyProtection="0">
      <alignment vertical="center"/>
    </xf>
  </cellStyleXfs>
  <cellXfs count="75">
    <xf numFmtId="180" fontId="0" fillId="0" borderId="0" xfId="0"/>
    <xf numFmtId="14" fontId="0" fillId="0" borderId="0" xfId="0" applyNumberFormat="1"/>
    <xf numFmtId="176" fontId="0" fillId="0" borderId="0" xfId="0" applyNumberFormat="1"/>
    <xf numFmtId="180" fontId="2" fillId="0" borderId="0" xfId="0" applyFont="1" applyAlignment="1">
      <alignment horizontal="center" vertical="center"/>
    </xf>
    <xf numFmtId="180" fontId="3" fillId="0" borderId="0" xfId="1"/>
    <xf numFmtId="180" fontId="4" fillId="0" borderId="0" xfId="0" applyFont="1"/>
    <xf numFmtId="180" fontId="4" fillId="0" borderId="0" xfId="0" applyFont="1" applyAlignment="1">
      <alignment horizontal="center" vertical="center" wrapText="1"/>
    </xf>
    <xf numFmtId="180" fontId="2" fillId="0" borderId="0" xfId="0" applyFont="1"/>
    <xf numFmtId="180" fontId="8" fillId="0" borderId="0" xfId="0" applyFont="1" applyAlignment="1">
      <alignment horizontal="center" vertical="center" wrapText="1"/>
    </xf>
    <xf numFmtId="44" fontId="0" fillId="0" borderId="0" xfId="0" applyNumberFormat="1"/>
    <xf numFmtId="180" fontId="0" fillId="2" borderId="0" xfId="0" applyFill="1"/>
    <xf numFmtId="180" fontId="7" fillId="2" borderId="0" xfId="0" applyFont="1" applyFill="1" applyAlignment="1">
      <alignment horizontal="center" vertical="center" wrapText="1"/>
    </xf>
    <xf numFmtId="180" fontId="8" fillId="3" borderId="0" xfId="0" applyFont="1" applyFill="1" applyAlignment="1">
      <alignment horizontal="center" vertical="center" wrapText="1"/>
    </xf>
    <xf numFmtId="177" fontId="0" fillId="0" borderId="0" xfId="0" applyNumberFormat="1"/>
    <xf numFmtId="180" fontId="2" fillId="3" borderId="0" xfId="0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0" fillId="0" borderId="0" xfId="0" applyNumberFormat="1"/>
    <xf numFmtId="180" fontId="0" fillId="0" borderId="0" xfId="0" applyNumberFormat="1"/>
    <xf numFmtId="58" fontId="0" fillId="0" borderId="0" xfId="0" applyNumberFormat="1"/>
    <xf numFmtId="180" fontId="0" fillId="0" borderId="0" xfId="0" applyNumberFormat="1"/>
    <xf numFmtId="10" fontId="0" fillId="0" borderId="0" xfId="2" applyNumberFormat="1" applyFont="1" applyAlignment="1"/>
    <xf numFmtId="21" fontId="0" fillId="0" borderId="0" xfId="0" applyNumberFormat="1"/>
    <xf numFmtId="180" fontId="2" fillId="4" borderId="0" xfId="0" applyFont="1" applyFill="1" applyAlignment="1">
      <alignment horizontal="center" vertical="center"/>
    </xf>
    <xf numFmtId="21" fontId="0" fillId="0" borderId="0" xfId="0" applyNumberFormat="1" applyAlignment="1">
      <alignment horizontal="right"/>
    </xf>
    <xf numFmtId="180" fontId="0" fillId="0" borderId="0" xfId="0" applyAlignment="1">
      <alignment horizontal="right"/>
    </xf>
    <xf numFmtId="178" fontId="0" fillId="0" borderId="0" xfId="0" applyNumberFormat="1"/>
    <xf numFmtId="180" fontId="2" fillId="5" borderId="0" xfId="0" applyFont="1" applyFill="1" applyAlignment="1">
      <alignment horizontal="center" vertical="center"/>
    </xf>
    <xf numFmtId="180" fontId="0" fillId="0" borderId="0" xfId="0" applyAlignment="1">
      <alignment horizontal="center" vertical="center"/>
    </xf>
    <xf numFmtId="180" fontId="0" fillId="0" borderId="0" xfId="0" applyAlignment="1">
      <alignment horizontal="right" vertical="center"/>
    </xf>
    <xf numFmtId="1" fontId="0" fillId="0" borderId="0" xfId="0" applyNumberFormat="1"/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80" fontId="0" fillId="0" borderId="0" xfId="0" applyNumberFormat="1"/>
    <xf numFmtId="180" fontId="0" fillId="0" borderId="0" xfId="0" applyAlignment="1">
      <alignment horizontal="center" vertical="center"/>
    </xf>
    <xf numFmtId="180" fontId="2" fillId="0" borderId="0" xfId="0" applyFont="1" applyFill="1" applyAlignment="1">
      <alignment horizontal="center" vertical="center"/>
    </xf>
    <xf numFmtId="180" fontId="0" fillId="0" borderId="0" xfId="0" applyFill="1"/>
    <xf numFmtId="180" fontId="4" fillId="0" borderId="0" xfId="0" applyFont="1" applyFill="1" applyAlignment="1">
      <alignment horizontal="center" vertical="center" wrapText="1"/>
    </xf>
    <xf numFmtId="14" fontId="12" fillId="0" borderId="0" xfId="0" applyNumberFormat="1" applyFont="1" applyAlignment="1">
      <alignment horizontal="right"/>
    </xf>
    <xf numFmtId="180" fontId="12" fillId="0" borderId="0" xfId="0" applyFont="1" applyFill="1" applyAlignment="1">
      <alignment horizontal="right" vertical="center"/>
    </xf>
    <xf numFmtId="180" fontId="12" fillId="0" borderId="0" xfId="0" applyFont="1" applyAlignment="1">
      <alignment horizontal="left"/>
    </xf>
    <xf numFmtId="180" fontId="12" fillId="0" borderId="0" xfId="0" applyNumberFormat="1" applyFont="1" applyFill="1" applyAlignment="1">
      <alignment horizontal="right" vertical="center"/>
    </xf>
    <xf numFmtId="10" fontId="2" fillId="0" borderId="0" xfId="0" applyNumberFormat="1" applyFont="1" applyFill="1" applyAlignment="1">
      <alignment horizontal="center" vertical="center"/>
    </xf>
    <xf numFmtId="10" fontId="12" fillId="0" borderId="0" xfId="0" applyNumberFormat="1" applyFont="1" applyFill="1" applyAlignment="1">
      <alignment horizontal="right" vertical="center"/>
    </xf>
    <xf numFmtId="10" fontId="4" fillId="0" borderId="0" xfId="0" applyNumberFormat="1" applyFont="1" applyAlignment="1">
      <alignment horizontal="center" vertical="center" wrapText="1"/>
    </xf>
    <xf numFmtId="10" fontId="12" fillId="0" borderId="0" xfId="0" applyNumberFormat="1" applyFont="1" applyAlignment="1">
      <alignment horizontal="left"/>
    </xf>
    <xf numFmtId="178" fontId="2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 wrapText="1"/>
    </xf>
    <xf numFmtId="18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vertical="center"/>
    </xf>
    <xf numFmtId="180" fontId="12" fillId="0" borderId="0" xfId="0" applyFont="1" applyAlignment="1">
      <alignment vertical="center"/>
    </xf>
    <xf numFmtId="2" fontId="0" fillId="0" borderId="0" xfId="0" applyNumberFormat="1"/>
    <xf numFmtId="14" fontId="13" fillId="0" borderId="0" xfId="1" applyNumberFormat="1" applyFont="1"/>
    <xf numFmtId="180" fontId="13" fillId="0" borderId="0" xfId="1" applyFont="1"/>
    <xf numFmtId="180" fontId="0" fillId="2" borderId="0" xfId="0" applyFill="1" applyAlignment="1">
      <alignment horizontal="center"/>
    </xf>
    <xf numFmtId="14" fontId="0" fillId="0" borderId="0" xfId="0" applyNumberFormat="1" applyAlignment="1">
      <alignment horizontal="center" vertical="center"/>
    </xf>
    <xf numFmtId="180" fontId="0" fillId="0" borderId="0" xfId="0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8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/>
    </xf>
    <xf numFmtId="14" fontId="12" fillId="0" borderId="0" xfId="0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9" fontId="12" fillId="0" borderId="0" xfId="0" applyNumberFormat="1" applyFont="1" applyAlignment="1">
      <alignment horizontal="center" vertical="center"/>
    </xf>
    <xf numFmtId="180" fontId="12" fillId="0" borderId="0" xfId="0" applyFont="1" applyAlignment="1">
      <alignment horizontal="center" vertical="center"/>
    </xf>
    <xf numFmtId="180" fontId="0" fillId="0" borderId="0" xfId="0" applyAlignment="1">
      <alignment horizontal="right" vertical="center"/>
    </xf>
    <xf numFmtId="180" fontId="6" fillId="0" borderId="0" xfId="0" applyFont="1" applyAlignment="1">
      <alignment horizontal="center" vertical="center"/>
    </xf>
    <xf numFmtId="180" fontId="2" fillId="0" borderId="0" xfId="0" applyFont="1" applyAlignment="1">
      <alignment horizontal="center"/>
    </xf>
    <xf numFmtId="0" fontId="12" fillId="0" borderId="0" xfId="0" applyNumberFormat="1" applyFont="1" applyFill="1" applyAlignment="1">
      <alignment horizontal="right" vertical="center"/>
    </xf>
    <xf numFmtId="0" fontId="0" fillId="0" borderId="0" xfId="0" applyNumberFormat="1"/>
    <xf numFmtId="0" fontId="2" fillId="5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新增与留存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Sheet6!$S$15</c:f>
              <c:strCache>
                <c:ptCount val="1"/>
                <c:pt idx="0">
                  <c:v>新增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Sheet6!$S$16:$S$22</c:f>
              <c:numCache>
                <c:formatCode>[$R$-416]#,##0.00;\-[$R$-416]#,##0.00</c:formatCode>
                <c:ptCount val="7"/>
                <c:pt idx="0">
                  <c:v>1192</c:v>
                </c:pt>
                <c:pt idx="1">
                  <c:v>963</c:v>
                </c:pt>
                <c:pt idx="2">
                  <c:v>1198</c:v>
                </c:pt>
                <c:pt idx="3">
                  <c:v>956</c:v>
                </c:pt>
                <c:pt idx="4">
                  <c:v>882</c:v>
                </c:pt>
                <c:pt idx="5">
                  <c:v>1062</c:v>
                </c:pt>
                <c:pt idx="6">
                  <c:v>1110</c:v>
                </c:pt>
              </c:numCache>
            </c:numRef>
          </c:val>
        </c:ser>
        <c:ser>
          <c:idx val="1"/>
          <c:order val="1"/>
          <c:tx>
            <c:strRef>
              <c:f>Sheet6!$T$15</c:f>
              <c:strCache>
                <c:ptCount val="1"/>
                <c:pt idx="0">
                  <c:v>次留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Sheet6!$T$16:$T$22</c:f>
              <c:numCache>
                <c:formatCode>[$R$-416]#,##0.00;\-[$R$-416]#,##0.00</c:formatCode>
                <c:ptCount val="7"/>
                <c:pt idx="0">
                  <c:v>677</c:v>
                </c:pt>
                <c:pt idx="1">
                  <c:v>712</c:v>
                </c:pt>
                <c:pt idx="2">
                  <c:v>680</c:v>
                </c:pt>
                <c:pt idx="3">
                  <c:v>785</c:v>
                </c:pt>
                <c:pt idx="4">
                  <c:v>638</c:v>
                </c:pt>
                <c:pt idx="5">
                  <c:v>614</c:v>
                </c:pt>
                <c:pt idx="6">
                  <c:v>600</c:v>
                </c:pt>
              </c:numCache>
            </c:numRef>
          </c:val>
        </c:ser>
        <c:ser>
          <c:idx val="2"/>
          <c:order val="2"/>
          <c:tx>
            <c:strRef>
              <c:f>Sheet6!$U$15</c:f>
              <c:strCache>
                <c:ptCount val="1"/>
                <c:pt idx="0">
                  <c:v>3日留存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Sheet6!$U$16:$U$22</c:f>
              <c:numCache>
                <c:formatCode>[$R$-416]#,##0.00;\-[$R$-416]#,##0.00</c:formatCode>
                <c:ptCount val="7"/>
                <c:pt idx="0">
                  <c:v>577</c:v>
                </c:pt>
                <c:pt idx="1">
                  <c:v>587</c:v>
                </c:pt>
                <c:pt idx="2">
                  <c:v>568</c:v>
                </c:pt>
                <c:pt idx="3">
                  <c:v>472</c:v>
                </c:pt>
                <c:pt idx="4">
                  <c:v>548</c:v>
                </c:pt>
                <c:pt idx="5">
                  <c:v>477</c:v>
                </c:pt>
                <c:pt idx="6">
                  <c:v>531</c:v>
                </c:pt>
              </c:numCache>
            </c:numRef>
          </c:val>
        </c:ser>
        <c:ser>
          <c:idx val="3"/>
          <c:order val="3"/>
          <c:tx>
            <c:strRef>
              <c:f>Sheet6!$V$15</c:f>
              <c:strCache>
                <c:ptCount val="1"/>
                <c:pt idx="0">
                  <c:v>4日留存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Sheet6!$V$16:$V$22</c:f>
              <c:numCache>
                <c:formatCode>[$R$-416]#,##0.00;\-[$R$-416]#,##0.00</c:formatCode>
                <c:ptCount val="7"/>
                <c:pt idx="0">
                  <c:v>427</c:v>
                </c:pt>
                <c:pt idx="1">
                  <c:v>401</c:v>
                </c:pt>
                <c:pt idx="2">
                  <c:v>389</c:v>
                </c:pt>
                <c:pt idx="3">
                  <c:v>431</c:v>
                </c:pt>
                <c:pt idx="4">
                  <c:v>444</c:v>
                </c:pt>
                <c:pt idx="5">
                  <c:v>369</c:v>
                </c:pt>
                <c:pt idx="6">
                  <c:v>393</c:v>
                </c:pt>
              </c:numCache>
            </c:numRef>
          </c:val>
        </c:ser>
        <c:ser>
          <c:idx val="4"/>
          <c:order val="4"/>
          <c:tx>
            <c:strRef>
              <c:f>Sheet6!$W$15</c:f>
              <c:strCache>
                <c:ptCount val="1"/>
                <c:pt idx="0">
                  <c:v>5日留存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Sheet6!$W$16:$W$22</c:f>
              <c:numCache>
                <c:formatCode>[$R$-416]#,##0.00;\-[$R$-416]#,##0.00</c:formatCode>
                <c:ptCount val="7"/>
                <c:pt idx="0">
                  <c:v>256</c:v>
                </c:pt>
                <c:pt idx="1">
                  <c:v>302</c:v>
                </c:pt>
                <c:pt idx="2">
                  <c:v>236</c:v>
                </c:pt>
                <c:pt idx="3">
                  <c:v>208</c:v>
                </c:pt>
                <c:pt idx="4">
                  <c:v>256</c:v>
                </c:pt>
                <c:pt idx="5">
                  <c:v>240</c:v>
                </c:pt>
                <c:pt idx="6">
                  <c:v>218</c:v>
                </c:pt>
              </c:numCache>
            </c:numRef>
          </c:val>
        </c:ser>
        <c:ser>
          <c:idx val="5"/>
          <c:order val="5"/>
          <c:tx>
            <c:strRef>
              <c:f>Sheet6!$X$15</c:f>
              <c:strCache>
                <c:ptCount val="1"/>
                <c:pt idx="0">
                  <c:v>6日留存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Sheet6!$X$16:$X$22</c:f>
              <c:numCache>
                <c:formatCode>[$R$-416]#,##0.00;\-[$R$-416]#,##0.00</c:formatCode>
                <c:ptCount val="7"/>
                <c:pt idx="0">
                  <c:v>200</c:v>
                </c:pt>
                <c:pt idx="1">
                  <c:v>179</c:v>
                </c:pt>
                <c:pt idx="2">
                  <c:v>156</c:v>
                </c:pt>
                <c:pt idx="3">
                  <c:v>169</c:v>
                </c:pt>
                <c:pt idx="4">
                  <c:v>180</c:v>
                </c:pt>
                <c:pt idx="5">
                  <c:v>162</c:v>
                </c:pt>
                <c:pt idx="6">
                  <c:v>182</c:v>
                </c:pt>
              </c:numCache>
            </c:numRef>
          </c:val>
        </c:ser>
        <c:ser>
          <c:idx val="6"/>
          <c:order val="6"/>
          <c:tx>
            <c:strRef>
              <c:f>Sheet6!$Y$15</c:f>
              <c:strCache>
                <c:ptCount val="1"/>
                <c:pt idx="0">
                  <c:v>7日留存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Sheet6!$R$16:$R$22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Sheet6!$Y$16:$Y$22</c:f>
              <c:numCache>
                <c:formatCode>[$R$-416]#,##0.00;\-[$R$-416]#,##0.00</c:formatCode>
                <c:ptCount val="7"/>
                <c:pt idx="0">
                  <c:v>142</c:v>
                </c:pt>
                <c:pt idx="1">
                  <c:v>126</c:v>
                </c:pt>
                <c:pt idx="2">
                  <c:v>136</c:v>
                </c:pt>
                <c:pt idx="3">
                  <c:v>142</c:v>
                </c:pt>
                <c:pt idx="4">
                  <c:v>130</c:v>
                </c:pt>
                <c:pt idx="5">
                  <c:v>148</c:v>
                </c:pt>
                <c:pt idx="6">
                  <c:v>132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214848"/>
        <c:axId val="2023213216"/>
      </c:areaChart>
      <c:dateAx>
        <c:axId val="2023214848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13216"/>
        <c:crosses val="autoZero"/>
        <c:auto val="1"/>
        <c:lblOffset val="100"/>
        <c:baseTimeUnit val="days"/>
      </c:dateAx>
      <c:valAx>
        <c:axId val="20232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#,##0.00;\-[$R$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14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平均在线时长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Sheet6!$X$33</c:f>
              <c:strCache>
                <c:ptCount val="1"/>
                <c:pt idx="0">
                  <c:v>新增用户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Sheet6!$W$34:$W$46</c:f>
              <c:numCache>
                <c:formatCode>m"月"d"日"</c:formatCode>
                <c:ptCount val="13"/>
                <c:pt idx="0">
                  <c:v>43071</c:v>
                </c:pt>
                <c:pt idx="1">
                  <c:v>43072</c:v>
                </c:pt>
                <c:pt idx="2">
                  <c:v>43073</c:v>
                </c:pt>
                <c:pt idx="3">
                  <c:v>43074</c:v>
                </c:pt>
                <c:pt idx="4">
                  <c:v>43075</c:v>
                </c:pt>
                <c:pt idx="5">
                  <c:v>43076</c:v>
                </c:pt>
                <c:pt idx="6">
                  <c:v>43077</c:v>
                </c:pt>
                <c:pt idx="7">
                  <c:v>43078</c:v>
                </c:pt>
                <c:pt idx="8">
                  <c:v>43079</c:v>
                </c:pt>
                <c:pt idx="9">
                  <c:v>43080</c:v>
                </c:pt>
                <c:pt idx="10">
                  <c:v>43081</c:v>
                </c:pt>
                <c:pt idx="11">
                  <c:v>43082</c:v>
                </c:pt>
                <c:pt idx="12">
                  <c:v>43083</c:v>
                </c:pt>
              </c:numCache>
            </c:numRef>
          </c:cat>
          <c:val>
            <c:numRef>
              <c:f>Sheet6!$X$34:$X$46</c:f>
              <c:numCache>
                <c:formatCode>[$R$-416]#,##0.00;\-[$R$-416]#,##0.00</c:formatCode>
                <c:ptCount val="13"/>
                <c:pt idx="0">
                  <c:v>4254</c:v>
                </c:pt>
                <c:pt idx="1">
                  <c:v>6766</c:v>
                </c:pt>
                <c:pt idx="2">
                  <c:v>4452</c:v>
                </c:pt>
                <c:pt idx="3">
                  <c:v>5200</c:v>
                </c:pt>
                <c:pt idx="4">
                  <c:v>5743</c:v>
                </c:pt>
                <c:pt idx="5">
                  <c:v>5038</c:v>
                </c:pt>
                <c:pt idx="6">
                  <c:v>5246</c:v>
                </c:pt>
                <c:pt idx="7">
                  <c:v>4727</c:v>
                </c:pt>
                <c:pt idx="8">
                  <c:v>4362</c:v>
                </c:pt>
                <c:pt idx="9">
                  <c:v>5258</c:v>
                </c:pt>
                <c:pt idx="10">
                  <c:v>4041</c:v>
                </c:pt>
                <c:pt idx="11">
                  <c:v>6839</c:v>
                </c:pt>
                <c:pt idx="12">
                  <c:v>5042</c:v>
                </c:pt>
              </c:numCache>
            </c:numRef>
          </c:val>
        </c:ser>
        <c:ser>
          <c:idx val="1"/>
          <c:order val="1"/>
          <c:tx>
            <c:strRef>
              <c:f>Sheet6!$Y$33</c:f>
              <c:strCache>
                <c:ptCount val="1"/>
                <c:pt idx="0">
                  <c:v>付费用户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Sheet6!$W$34:$W$46</c:f>
              <c:numCache>
                <c:formatCode>m"月"d"日"</c:formatCode>
                <c:ptCount val="13"/>
                <c:pt idx="0">
                  <c:v>43071</c:v>
                </c:pt>
                <c:pt idx="1">
                  <c:v>43072</c:v>
                </c:pt>
                <c:pt idx="2">
                  <c:v>43073</c:v>
                </c:pt>
                <c:pt idx="3">
                  <c:v>43074</c:v>
                </c:pt>
                <c:pt idx="4">
                  <c:v>43075</c:v>
                </c:pt>
                <c:pt idx="5">
                  <c:v>43076</c:v>
                </c:pt>
                <c:pt idx="6">
                  <c:v>43077</c:v>
                </c:pt>
                <c:pt idx="7">
                  <c:v>43078</c:v>
                </c:pt>
                <c:pt idx="8">
                  <c:v>43079</c:v>
                </c:pt>
                <c:pt idx="9">
                  <c:v>43080</c:v>
                </c:pt>
                <c:pt idx="10">
                  <c:v>43081</c:v>
                </c:pt>
                <c:pt idx="11">
                  <c:v>43082</c:v>
                </c:pt>
                <c:pt idx="12">
                  <c:v>43083</c:v>
                </c:pt>
              </c:numCache>
            </c:numRef>
          </c:cat>
          <c:val>
            <c:numRef>
              <c:f>Sheet6!$Y$34:$Y$46</c:f>
              <c:numCache>
                <c:formatCode>[$R$-416]#,##0.00;\-[$R$-416]#,##0.00</c:formatCode>
                <c:ptCount val="13"/>
                <c:pt idx="0">
                  <c:v>10389</c:v>
                </c:pt>
                <c:pt idx="1">
                  <c:v>6838</c:v>
                </c:pt>
                <c:pt idx="2">
                  <c:v>5476</c:v>
                </c:pt>
                <c:pt idx="3">
                  <c:v>10319</c:v>
                </c:pt>
                <c:pt idx="4">
                  <c:v>3890</c:v>
                </c:pt>
                <c:pt idx="5">
                  <c:v>11079</c:v>
                </c:pt>
                <c:pt idx="6">
                  <c:v>8315</c:v>
                </c:pt>
                <c:pt idx="7">
                  <c:v>5309</c:v>
                </c:pt>
                <c:pt idx="8">
                  <c:v>6140</c:v>
                </c:pt>
                <c:pt idx="9">
                  <c:v>3929</c:v>
                </c:pt>
                <c:pt idx="10">
                  <c:v>6945</c:v>
                </c:pt>
                <c:pt idx="11">
                  <c:v>11148</c:v>
                </c:pt>
                <c:pt idx="12">
                  <c:v>10814</c:v>
                </c:pt>
              </c:numCache>
            </c:numRef>
          </c:val>
        </c:ser>
        <c:ser>
          <c:idx val="2"/>
          <c:order val="2"/>
          <c:tx>
            <c:strRef>
              <c:f>Sheet6!$Z$33</c:f>
              <c:strCache>
                <c:ptCount val="1"/>
                <c:pt idx="0">
                  <c:v>活跃用户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Sheet6!$W$34:$W$46</c:f>
              <c:numCache>
                <c:formatCode>m"月"d"日"</c:formatCode>
                <c:ptCount val="13"/>
                <c:pt idx="0">
                  <c:v>43071</c:v>
                </c:pt>
                <c:pt idx="1">
                  <c:v>43072</c:v>
                </c:pt>
                <c:pt idx="2">
                  <c:v>43073</c:v>
                </c:pt>
                <c:pt idx="3">
                  <c:v>43074</c:v>
                </c:pt>
                <c:pt idx="4">
                  <c:v>43075</c:v>
                </c:pt>
                <c:pt idx="5">
                  <c:v>43076</c:v>
                </c:pt>
                <c:pt idx="6">
                  <c:v>43077</c:v>
                </c:pt>
                <c:pt idx="7">
                  <c:v>43078</c:v>
                </c:pt>
                <c:pt idx="8">
                  <c:v>43079</c:v>
                </c:pt>
                <c:pt idx="9">
                  <c:v>43080</c:v>
                </c:pt>
                <c:pt idx="10">
                  <c:v>43081</c:v>
                </c:pt>
                <c:pt idx="11">
                  <c:v>43082</c:v>
                </c:pt>
                <c:pt idx="12">
                  <c:v>43083</c:v>
                </c:pt>
              </c:numCache>
            </c:numRef>
          </c:cat>
          <c:val>
            <c:numRef>
              <c:f>Sheet6!$Z$34:$Z$46</c:f>
              <c:numCache>
                <c:formatCode>[$R$-416]#,##0.00;\-[$R$-416]#,##0.00</c:formatCode>
                <c:ptCount val="13"/>
                <c:pt idx="0">
                  <c:v>3803</c:v>
                </c:pt>
                <c:pt idx="1">
                  <c:v>3124</c:v>
                </c:pt>
                <c:pt idx="2">
                  <c:v>3893</c:v>
                </c:pt>
                <c:pt idx="3">
                  <c:v>3355</c:v>
                </c:pt>
                <c:pt idx="4">
                  <c:v>4723</c:v>
                </c:pt>
                <c:pt idx="5">
                  <c:v>2464</c:v>
                </c:pt>
                <c:pt idx="6">
                  <c:v>2346</c:v>
                </c:pt>
                <c:pt idx="7">
                  <c:v>4129</c:v>
                </c:pt>
                <c:pt idx="8">
                  <c:v>2391</c:v>
                </c:pt>
                <c:pt idx="9">
                  <c:v>4893</c:v>
                </c:pt>
                <c:pt idx="10">
                  <c:v>3396</c:v>
                </c:pt>
                <c:pt idx="11">
                  <c:v>2777</c:v>
                </c:pt>
                <c:pt idx="12">
                  <c:v>3942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226816"/>
        <c:axId val="2023217024"/>
      </c:barChart>
      <c:dateAx>
        <c:axId val="2023226816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17024"/>
        <c:crosses val="autoZero"/>
        <c:auto val="1"/>
        <c:lblOffset val="100"/>
        <c:baseTimeUnit val="days"/>
      </c:dateAx>
      <c:valAx>
        <c:axId val="20232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#,##0.00;\-[$R$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Sheet6!$B$73</c:f>
              <c:strCache>
                <c:ptCount val="1"/>
                <c:pt idx="0">
                  <c:v>新增单价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Sheet6!$A$74:$A$80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Sheet6!$B$74:$B$80</c:f>
              <c:numCache>
                <c:formatCode>[$R$-416]#,##0.00;\-[$R$-416]#,##0.00</c:formatCode>
                <c:ptCount val="7"/>
                <c:pt idx="0">
                  <c:v>1.1447509731554941</c:v>
                </c:pt>
                <c:pt idx="1">
                  <c:v>1.4800425161635065</c:v>
                </c:pt>
                <c:pt idx="2">
                  <c:v>1.3485350304114003</c:v>
                </c:pt>
                <c:pt idx="3">
                  <c:v>0.76118798788785147</c:v>
                </c:pt>
                <c:pt idx="4">
                  <c:v>0.72849302333641197</c:v>
                </c:pt>
                <c:pt idx="5">
                  <c:v>1.2899111543740309</c:v>
                </c:pt>
                <c:pt idx="6">
                  <c:v>0.61574426005497829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Sheet6!$C$73</c:f>
              <c:strCache>
                <c:ptCount val="1"/>
                <c:pt idx="0">
                  <c:v>付费单价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Sheet6!$A$74:$A$80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Sheet6!$C$74:$C$80</c:f>
              <c:numCache>
                <c:formatCode>[$R$-416]#,##0.00;\-[$R$-416]#,##0.00</c:formatCode>
                <c:ptCount val="7"/>
                <c:pt idx="0">
                  <c:v>4.8483173436194029</c:v>
                </c:pt>
                <c:pt idx="1">
                  <c:v>5.7815296827066884</c:v>
                </c:pt>
                <c:pt idx="2">
                  <c:v>4.5959329217544873</c:v>
                </c:pt>
                <c:pt idx="3">
                  <c:v>4.316245991307273</c:v>
                </c:pt>
                <c:pt idx="4">
                  <c:v>5.3940189615704393</c:v>
                </c:pt>
                <c:pt idx="5">
                  <c:v>5.3255319919487363</c:v>
                </c:pt>
                <c:pt idx="6">
                  <c:v>5.0987385091103476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217568"/>
        <c:axId val="2023220832"/>
      </c:lineChart>
      <c:dateAx>
        <c:axId val="2023217568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20832"/>
        <c:crosses val="autoZero"/>
        <c:auto val="1"/>
        <c:lblOffset val="100"/>
        <c:baseTimeUnit val="days"/>
      </c:dateAx>
      <c:valAx>
        <c:axId val="20232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#,##0.00;\-[$R$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1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ARPPU</a:t>
            </a:r>
            <a:r>
              <a:rPr lang="zh-CN" altLang="en-US"/>
              <a:t>对比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首次付费用户ARPPU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Sheet4!$A$9:$A$15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Sheet4!$B$9:$B$15</c:f>
              <c:numCache>
                <c:formatCode>[$R$-416]#,##0.00;\-[$R$-416]#,##0.00</c:formatCode>
                <c:ptCount val="7"/>
                <c:pt idx="0">
                  <c:v>37.581987547126822</c:v>
                </c:pt>
                <c:pt idx="1">
                  <c:v>44.183092475035515</c:v>
                </c:pt>
                <c:pt idx="2">
                  <c:v>12.992053671200793</c:v>
                </c:pt>
                <c:pt idx="3">
                  <c:v>31.240460978419854</c:v>
                </c:pt>
                <c:pt idx="4">
                  <c:v>38.872095643617399</c:v>
                </c:pt>
                <c:pt idx="5">
                  <c:v>4.9656367219811317</c:v>
                </c:pt>
                <c:pt idx="6">
                  <c:v>39.664557532527439</c:v>
                </c:pt>
              </c:numCache>
            </c:numRef>
          </c:val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活跃用户ARPPU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Sheet4!$A$9:$A$15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Sheet4!$C$9:$C$15</c:f>
              <c:numCache>
                <c:formatCode>[$R$-416]#,##0.00;\-[$R$-416]#,##0.00</c:formatCode>
                <c:ptCount val="7"/>
                <c:pt idx="0">
                  <c:v>83.166674547732015</c:v>
                </c:pt>
                <c:pt idx="1">
                  <c:v>70.708364626332951</c:v>
                </c:pt>
                <c:pt idx="2">
                  <c:v>86.685190031580746</c:v>
                </c:pt>
                <c:pt idx="3">
                  <c:v>66.13174824151082</c:v>
                </c:pt>
                <c:pt idx="4">
                  <c:v>57.317258096772953</c:v>
                </c:pt>
                <c:pt idx="5">
                  <c:v>77.945061976412489</c:v>
                </c:pt>
                <c:pt idx="6">
                  <c:v>82.080854899736522</c:v>
                </c:pt>
              </c:numCache>
            </c:numRef>
          </c:val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付费用户ARPPU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Sheet4!$A$9:$A$15</c:f>
              <c:numCache>
                <c:formatCode>m"月"d"日"</c:formatCode>
                <c:ptCount val="7"/>
                <c:pt idx="0">
                  <c:v>43077</c:v>
                </c:pt>
                <c:pt idx="1">
                  <c:v>43078</c:v>
                </c:pt>
                <c:pt idx="2">
                  <c:v>43079</c:v>
                </c:pt>
                <c:pt idx="3">
                  <c:v>43080</c:v>
                </c:pt>
                <c:pt idx="4">
                  <c:v>43081</c:v>
                </c:pt>
                <c:pt idx="5">
                  <c:v>43082</c:v>
                </c:pt>
                <c:pt idx="6">
                  <c:v>43083</c:v>
                </c:pt>
              </c:numCache>
            </c:numRef>
          </c:cat>
          <c:val>
            <c:numRef>
              <c:f>Sheet4!$D$9:$D$15</c:f>
              <c:numCache>
                <c:formatCode>[$R$-416]#,##0.00;\-[$R$-416]#,##0.00</c:formatCode>
                <c:ptCount val="7"/>
                <c:pt idx="0">
                  <c:v>122.40862157641735</c:v>
                </c:pt>
                <c:pt idx="1">
                  <c:v>134.58225926662402</c:v>
                </c:pt>
                <c:pt idx="2">
                  <c:v>122.5831858050871</c:v>
                </c:pt>
                <c:pt idx="3">
                  <c:v>111.69453096906197</c:v>
                </c:pt>
                <c:pt idx="4">
                  <c:v>117.96535032632025</c:v>
                </c:pt>
                <c:pt idx="5">
                  <c:v>142.00453020753619</c:v>
                </c:pt>
                <c:pt idx="6">
                  <c:v>100.2740846746309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219200"/>
        <c:axId val="2023219744"/>
      </c:barChart>
      <c:dateAx>
        <c:axId val="202321920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19744"/>
        <c:crosses val="autoZero"/>
        <c:auto val="1"/>
        <c:lblOffset val="100"/>
        <c:baseTimeUnit val="days"/>
      </c:dateAx>
      <c:valAx>
        <c:axId val="20232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#,##0.00;\-[$R$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收入（K）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Sheet5!$A$8:$A$14</c:f>
              <c:numCache>
                <c:formatCode>m"月"d"日"</c:formatCode>
                <c:ptCount val="7"/>
                <c:pt idx="0">
                  <c:v>43076</c:v>
                </c:pt>
                <c:pt idx="1">
                  <c:v>43077</c:v>
                </c:pt>
                <c:pt idx="2">
                  <c:v>43078</c:v>
                </c:pt>
                <c:pt idx="3">
                  <c:v>43079</c:v>
                </c:pt>
                <c:pt idx="4">
                  <c:v>43080</c:v>
                </c:pt>
                <c:pt idx="5">
                  <c:v>43081</c:v>
                </c:pt>
                <c:pt idx="6">
                  <c:v>43082</c:v>
                </c:pt>
              </c:numCache>
            </c:numRef>
          </c:cat>
          <c:val>
            <c:numRef>
              <c:f>Sheet5!$B$8:$B$14</c:f>
              <c:numCache>
                <c:formatCode>[$R$-416]#,##0.00;\-[$R$-416]#,##0.00</c:formatCode>
                <c:ptCount val="7"/>
                <c:pt idx="0">
                  <c:v>20.624892908826645</c:v>
                </c:pt>
                <c:pt idx="1">
                  <c:v>20.910781527513354</c:v>
                </c:pt>
                <c:pt idx="2">
                  <c:v>24.015986712546187</c:v>
                </c:pt>
                <c:pt idx="3">
                  <c:v>21.317522335251052</c:v>
                </c:pt>
                <c:pt idx="4">
                  <c:v>20.891004628269421</c:v>
                </c:pt>
                <c:pt idx="5">
                  <c:v>22.501604001820631</c:v>
                </c:pt>
                <c:pt idx="6">
                  <c:v>24.043878478530655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支出（K）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Sheet5!$A$8:$A$14</c:f>
              <c:numCache>
                <c:formatCode>m"月"d"日"</c:formatCode>
                <c:ptCount val="7"/>
                <c:pt idx="0">
                  <c:v>43076</c:v>
                </c:pt>
                <c:pt idx="1">
                  <c:v>43077</c:v>
                </c:pt>
                <c:pt idx="2">
                  <c:v>43078</c:v>
                </c:pt>
                <c:pt idx="3">
                  <c:v>43079</c:v>
                </c:pt>
                <c:pt idx="4">
                  <c:v>43080</c:v>
                </c:pt>
                <c:pt idx="5">
                  <c:v>43081</c:v>
                </c:pt>
                <c:pt idx="6">
                  <c:v>43082</c:v>
                </c:pt>
              </c:numCache>
            </c:numRef>
          </c:cat>
          <c:val>
            <c:numRef>
              <c:f>Sheet5!$C$8:$C$14</c:f>
              <c:numCache>
                <c:formatCode>[$R$-416]#,##0.00;\-[$R$-416]#,##0.00</c:formatCode>
                <c:ptCount val="7"/>
                <c:pt idx="0">
                  <c:v>18.540744751101812</c:v>
                </c:pt>
                <c:pt idx="1">
                  <c:v>19.581246738133398</c:v>
                </c:pt>
                <c:pt idx="2">
                  <c:v>19.716626719250982</c:v>
                </c:pt>
                <c:pt idx="3">
                  <c:v>19.971185255591998</c:v>
                </c:pt>
                <c:pt idx="4">
                  <c:v>19.649473133723902</c:v>
                </c:pt>
                <c:pt idx="5">
                  <c:v>19.400806155516129</c:v>
                </c:pt>
                <c:pt idx="6">
                  <c:v>18.598982523063864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222464"/>
        <c:axId val="2023223008"/>
      </c:lineChart>
      <c:dateAx>
        <c:axId val="2023222464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23008"/>
        <c:crosses val="autoZero"/>
        <c:auto val="1"/>
        <c:lblOffset val="100"/>
        <c:baseTimeUnit val="days"/>
      </c:dateAx>
      <c:valAx>
        <c:axId val="202322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#,##0.00;\-[$R$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22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14</xdr:row>
      <xdr:rowOff>28575</xdr:rowOff>
    </xdr:from>
    <xdr:to>
      <xdr:col>14</xdr:col>
      <xdr:colOff>533400</xdr:colOff>
      <xdr:row>30</xdr:row>
      <xdr:rowOff>28575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361949</xdr:colOff>
      <xdr:row>48</xdr:row>
      <xdr:rowOff>19050</xdr:rowOff>
    </xdr:from>
    <xdr:to>
      <xdr:col>29</xdr:col>
      <xdr:colOff>47625</xdr:colOff>
      <xdr:row>64</xdr:row>
      <xdr:rowOff>19050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171450</xdr:colOff>
      <xdr:row>58</xdr:row>
      <xdr:rowOff>57150</xdr:rowOff>
    </xdr:from>
    <xdr:to>
      <xdr:col>11</xdr:col>
      <xdr:colOff>609600</xdr:colOff>
      <xdr:row>74</xdr:row>
      <xdr:rowOff>57150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3</xdr:row>
      <xdr:rowOff>161924</xdr:rowOff>
    </xdr:from>
    <xdr:to>
      <xdr:col>13</xdr:col>
      <xdr:colOff>66675</xdr:colOff>
      <xdr:row>21</xdr:row>
      <xdr:rowOff>171449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152401</xdr:colOff>
      <xdr:row>10</xdr:row>
      <xdr:rowOff>57150</xdr:rowOff>
    </xdr:from>
    <xdr:to>
      <xdr:col>10</xdr:col>
      <xdr:colOff>38101</xdr:colOff>
      <xdr:row>26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I15" sqref="I15"/>
    </sheetView>
  </sheetViews>
  <sheetFormatPr defaultColWidth="10.75" defaultRowHeight="13.5" x14ac:dyDescent="0.15"/>
  <cols>
    <col min="1" max="1" width="10.5" bestFit="1" customWidth="1"/>
    <col min="2" max="2" width="9.75" bestFit="1" customWidth="1"/>
    <col min="4" max="5" width="9.75" bestFit="1" customWidth="1"/>
    <col min="6" max="8" width="9.75" customWidth="1"/>
    <col min="12" max="12" width="16.5" bestFit="1" customWidth="1"/>
    <col min="15" max="15" width="17.875" customWidth="1"/>
    <col min="16" max="16" width="22.5" bestFit="1" customWidth="1"/>
  </cols>
  <sheetData>
    <row r="1" spans="1:15" s="3" customFormat="1" x14ac:dyDescent="0.15">
      <c r="A1" s="3" t="s">
        <v>0</v>
      </c>
      <c r="B1" s="3" t="s">
        <v>9</v>
      </c>
      <c r="C1" s="3" t="s">
        <v>10</v>
      </c>
      <c r="D1" s="3" t="s">
        <v>42</v>
      </c>
      <c r="E1" s="3" t="s">
        <v>43</v>
      </c>
      <c r="F1" s="3" t="s">
        <v>52</v>
      </c>
      <c r="G1" s="3" t="s">
        <v>167</v>
      </c>
      <c r="H1" s="3" t="s">
        <v>168</v>
      </c>
      <c r="I1" s="3" t="s">
        <v>46</v>
      </c>
      <c r="J1" s="3" t="s">
        <v>213</v>
      </c>
      <c r="K1" s="3" t="s">
        <v>214</v>
      </c>
      <c r="L1" s="3" t="s">
        <v>216</v>
      </c>
      <c r="M1" s="3" t="s">
        <v>215</v>
      </c>
      <c r="N1" s="3" t="s">
        <v>231</v>
      </c>
      <c r="O1" s="3" t="s">
        <v>230</v>
      </c>
    </row>
    <row r="2" spans="1:15" x14ac:dyDescent="0.15">
      <c r="A2">
        <v>123456789</v>
      </c>
      <c r="B2" t="s">
        <v>47</v>
      </c>
      <c r="C2">
        <v>98765</v>
      </c>
      <c r="D2" s="4" t="s">
        <v>45</v>
      </c>
      <c r="E2" s="4" t="s">
        <v>44</v>
      </c>
      <c r="F2" s="4" t="s">
        <v>53</v>
      </c>
      <c r="G2" s="57" t="s">
        <v>253</v>
      </c>
      <c r="H2" s="56">
        <v>43070</v>
      </c>
      <c r="I2" t="s">
        <v>254</v>
      </c>
      <c r="J2" t="s">
        <v>226</v>
      </c>
      <c r="K2" t="s">
        <v>229</v>
      </c>
      <c r="L2" t="s">
        <v>250</v>
      </c>
      <c r="M2" t="s">
        <v>250</v>
      </c>
      <c r="N2" t="s">
        <v>251</v>
      </c>
      <c r="O2" t="s">
        <v>252</v>
      </c>
    </row>
    <row r="3" spans="1:15" x14ac:dyDescent="0.15">
      <c r="J3" t="s">
        <v>227</v>
      </c>
    </row>
    <row r="4" spans="1:15" x14ac:dyDescent="0.15">
      <c r="J4" t="s">
        <v>228</v>
      </c>
    </row>
  </sheetData>
  <phoneticPr fontId="1" type="noConversion"/>
  <hyperlinks>
    <hyperlink ref="D2" location="渠道表!A1" display="渠道表"/>
    <hyperlink ref="E2" location="留存表!A1" display="留存表"/>
    <hyperlink ref="F2" location="付费表!A1" display="付费表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6"/>
  <sheetViews>
    <sheetView topLeftCell="AI1" workbookViewId="0">
      <selection activeCell="AN8" sqref="AN8"/>
    </sheetView>
  </sheetViews>
  <sheetFormatPr defaultRowHeight="13.5" x14ac:dyDescent="0.15"/>
  <cols>
    <col min="1" max="1" width="11.625" customWidth="1"/>
    <col min="2" max="6" width="9" style="38" customWidth="1"/>
    <col min="7" max="9" width="9" customWidth="1"/>
    <col min="10" max="11" width="11.625" customWidth="1"/>
    <col min="12" max="12" width="8" customWidth="1"/>
    <col min="13" max="13" width="7.625" customWidth="1"/>
    <col min="14" max="16" width="9" customWidth="1"/>
    <col min="17" max="17" width="11.625" customWidth="1"/>
    <col min="18" max="18" width="9" customWidth="1"/>
    <col min="19" max="19" width="9.5" customWidth="1"/>
    <col min="20" max="22" width="9" customWidth="1"/>
    <col min="23" max="24" width="9" style="17" customWidth="1"/>
    <col min="25" max="28" width="10.75" style="17" customWidth="1"/>
    <col min="29" max="31" width="9" style="17" customWidth="1"/>
    <col min="32" max="32" width="11.125" style="26" customWidth="1"/>
    <col min="33" max="33" width="14.375" style="26" customWidth="1"/>
    <col min="34" max="34" width="24.25" bestFit="1" customWidth="1"/>
    <col min="35" max="35" width="20.875" customWidth="1"/>
    <col min="36" max="39" width="24.25" customWidth="1"/>
    <col min="40" max="43" width="11.875" customWidth="1"/>
    <col min="44" max="44" width="14.125" customWidth="1"/>
    <col min="45" max="50" width="9.625" bestFit="1" customWidth="1"/>
  </cols>
  <sheetData>
    <row r="1" spans="1:54" x14ac:dyDescent="0.15">
      <c r="B1" s="58" t="s">
        <v>212</v>
      </c>
      <c r="C1" s="58"/>
      <c r="D1" s="58"/>
      <c r="E1" s="58"/>
      <c r="F1" s="58"/>
    </row>
    <row r="2" spans="1:54" s="37" customFormat="1" x14ac:dyDescent="0.15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7</v>
      </c>
      <c r="G2" s="37" t="s">
        <v>6</v>
      </c>
      <c r="H2" s="37" t="s">
        <v>170</v>
      </c>
      <c r="I2" s="37" t="s">
        <v>169</v>
      </c>
      <c r="J2" s="37" t="s">
        <v>173</v>
      </c>
      <c r="K2" s="37" t="s">
        <v>174</v>
      </c>
      <c r="L2" s="37" t="s">
        <v>207</v>
      </c>
      <c r="M2" s="37" t="s">
        <v>235</v>
      </c>
      <c r="N2" s="37" t="s">
        <v>236</v>
      </c>
      <c r="O2" s="37" t="s">
        <v>176</v>
      </c>
      <c r="P2" s="37" t="s">
        <v>177</v>
      </c>
      <c r="Q2" s="37" t="s">
        <v>178</v>
      </c>
      <c r="R2" s="37" t="s">
        <v>233</v>
      </c>
      <c r="S2" s="37" t="s">
        <v>232</v>
      </c>
      <c r="T2" s="37" t="s">
        <v>181</v>
      </c>
      <c r="U2" s="37" t="s">
        <v>182</v>
      </c>
      <c r="V2" s="37" t="s">
        <v>183</v>
      </c>
      <c r="W2" s="44" t="s">
        <v>190</v>
      </c>
      <c r="X2" s="44" t="s">
        <v>191</v>
      </c>
      <c r="Y2" s="44" t="s">
        <v>192</v>
      </c>
      <c r="Z2" s="44" t="s">
        <v>206</v>
      </c>
      <c r="AA2" s="44" t="s">
        <v>208</v>
      </c>
      <c r="AB2" s="44" t="s">
        <v>209</v>
      </c>
      <c r="AC2" s="44" t="s">
        <v>186</v>
      </c>
      <c r="AD2" s="44" t="s">
        <v>187</v>
      </c>
      <c r="AE2" s="44" t="s">
        <v>188</v>
      </c>
      <c r="AF2" s="48" t="s">
        <v>286</v>
      </c>
      <c r="AG2" s="48" t="s">
        <v>287</v>
      </c>
      <c r="AH2" s="37" t="s">
        <v>198</v>
      </c>
      <c r="AI2" s="37" t="s">
        <v>289</v>
      </c>
      <c r="AJ2" s="37" t="s">
        <v>200</v>
      </c>
      <c r="AK2" s="37" t="s">
        <v>202</v>
      </c>
      <c r="AL2" s="37" t="s">
        <v>204</v>
      </c>
      <c r="AM2" s="37" t="s">
        <v>203</v>
      </c>
      <c r="AN2" s="37" t="s">
        <v>268</v>
      </c>
      <c r="AO2" s="37" t="s">
        <v>273</v>
      </c>
      <c r="AP2" s="37" t="s">
        <v>272</v>
      </c>
      <c r="AQ2" s="37" t="s">
        <v>211</v>
      </c>
      <c r="AR2" s="37" t="s">
        <v>171</v>
      </c>
      <c r="AS2" s="37" t="s">
        <v>240</v>
      </c>
      <c r="AT2" s="37" t="s">
        <v>239</v>
      </c>
      <c r="AU2" s="37" t="s">
        <v>241</v>
      </c>
      <c r="AV2" s="37" t="s">
        <v>242</v>
      </c>
      <c r="AW2" s="37" t="s">
        <v>243</v>
      </c>
      <c r="AX2" s="37" t="s">
        <v>244</v>
      </c>
      <c r="AY2" s="37" t="s">
        <v>245</v>
      </c>
      <c r="AZ2" s="37" t="s">
        <v>246</v>
      </c>
      <c r="BA2" s="37" t="s">
        <v>247</v>
      </c>
      <c r="BB2" s="37" t="s">
        <v>248</v>
      </c>
    </row>
    <row r="3" spans="1:54" s="41" customFormat="1" x14ac:dyDescent="0.15">
      <c r="A3" s="40">
        <v>43069</v>
      </c>
      <c r="B3" s="38">
        <v>123</v>
      </c>
      <c r="C3" s="41">
        <v>50</v>
      </c>
      <c r="D3" s="41">
        <v>20</v>
      </c>
      <c r="E3" s="43">
        <v>0.78</v>
      </c>
      <c r="F3" s="38" t="s">
        <v>8</v>
      </c>
      <c r="G3" s="41">
        <v>10</v>
      </c>
      <c r="H3" s="41">
        <v>8</v>
      </c>
      <c r="I3" s="41">
        <v>520</v>
      </c>
      <c r="J3" s="42" t="s">
        <v>175</v>
      </c>
      <c r="K3" s="41">
        <v>3850</v>
      </c>
      <c r="L3" s="41">
        <f ca="1">RANDBETWEEN(1,4)</f>
        <v>2</v>
      </c>
      <c r="M3" s="42" t="s">
        <v>175</v>
      </c>
      <c r="N3" s="41">
        <f ca="1">RANDBETWEEN(50,100)</f>
        <v>87</v>
      </c>
      <c r="O3">
        <v>123</v>
      </c>
      <c r="P3" s="42" t="s">
        <v>175</v>
      </c>
      <c r="Q3" s="41">
        <v>1000</v>
      </c>
      <c r="R3" s="71">
        <v>100</v>
      </c>
      <c r="S3" s="43">
        <f ca="1">AQ3/R3</f>
        <v>28.472395660653397</v>
      </c>
      <c r="T3" s="43">
        <f ca="1">AR3/I3</f>
        <v>7.6872455592342845</v>
      </c>
      <c r="U3" s="42" t="s">
        <v>175</v>
      </c>
      <c r="V3" s="43">
        <f>123456/K3</f>
        <v>32.066493506493508</v>
      </c>
      <c r="W3" s="43">
        <f ca="1">AR3/O3</f>
        <v>32.498924315462013</v>
      </c>
      <c r="X3" s="42" t="s">
        <v>175</v>
      </c>
      <c r="Y3" s="43">
        <f>123456/Q3</f>
        <v>123.456</v>
      </c>
      <c r="Z3" s="45">
        <f t="shared" ref="Z3:Z15" ca="1" si="0">L3/H3</f>
        <v>0.25</v>
      </c>
      <c r="AA3" s="42" t="s">
        <v>175</v>
      </c>
      <c r="AB3" s="45">
        <f ca="1">N3/240</f>
        <v>0.36249999999999999</v>
      </c>
      <c r="AC3" s="45">
        <f t="shared" ref="AC3:AC15" si="1">O3/I3</f>
        <v>0.23653846153846153</v>
      </c>
      <c r="AD3" s="47" t="s">
        <v>175</v>
      </c>
      <c r="AE3" s="45">
        <f>Q3/K3</f>
        <v>0.25974025974025972</v>
      </c>
      <c r="AF3" s="13">
        <f ca="1">RANDBETWEEN(1000,1200)</f>
        <v>1058</v>
      </c>
      <c r="AG3" s="26">
        <f t="shared" ref="AG3:AG15" ca="1" si="2">AF3/I3</f>
        <v>2.0346153846153845</v>
      </c>
      <c r="AH3" s="72">
        <f ca="1">RANDBETWEEN(123456,333456)</f>
        <v>270507</v>
      </c>
      <c r="AI3" s="26">
        <f t="shared" ref="AI3:AI15" ca="1" si="3">AH3/I3</f>
        <v>520.20576923076919</v>
      </c>
      <c r="AJ3" s="72">
        <f ca="1">RANDBETWEEN(123456,333456)</f>
        <v>325821</v>
      </c>
      <c r="AK3" s="26">
        <f ca="1">AJ3/I3</f>
        <v>626.57884615384614</v>
      </c>
      <c r="AL3" s="72">
        <f ca="1">RANDBETWEEN(123456,333456)</f>
        <v>314291</v>
      </c>
      <c r="AM3" s="55">
        <f ca="1">AL3/I3</f>
        <v>604.40576923076924</v>
      </c>
      <c r="AN3" s="43">
        <f ca="1">RAND()*20+10</f>
        <v>16.909210930294261</v>
      </c>
      <c r="AO3" s="43" t="s">
        <v>274</v>
      </c>
      <c r="AP3" s="43">
        <v>1234</v>
      </c>
      <c r="AQ3" s="43">
        <f ca="1">(RAND()*30+1)*R3</f>
        <v>2847.2395660653397</v>
      </c>
      <c r="AR3" s="43">
        <f ca="1">RAND()*1500+3000</f>
        <v>3997.3676908018278</v>
      </c>
    </row>
    <row r="4" spans="1:54" x14ac:dyDescent="0.15">
      <c r="A4" s="1">
        <v>43070</v>
      </c>
      <c r="B4" s="38">
        <v>124</v>
      </c>
      <c r="C4" s="38">
        <v>50</v>
      </c>
      <c r="D4" s="38">
        <v>20</v>
      </c>
      <c r="E4" s="43">
        <v>0.78</v>
      </c>
      <c r="F4" s="38" t="s">
        <v>8</v>
      </c>
      <c r="G4">
        <v>10</v>
      </c>
      <c r="H4">
        <v>8</v>
      </c>
      <c r="I4">
        <v>520</v>
      </c>
      <c r="J4" t="s">
        <v>175</v>
      </c>
      <c r="K4" s="42" t="s">
        <v>175</v>
      </c>
      <c r="L4" s="41">
        <f t="shared" ref="L4:L15" ca="1" si="4">RANDBETWEEN(1,4)</f>
        <v>4</v>
      </c>
      <c r="M4" t="s">
        <v>175</v>
      </c>
      <c r="N4" s="42" t="s">
        <v>175</v>
      </c>
      <c r="O4">
        <v>123</v>
      </c>
      <c r="P4" s="42" t="s">
        <v>175</v>
      </c>
      <c r="Q4" s="42" t="s">
        <v>175</v>
      </c>
      <c r="R4" s="71">
        <v>100</v>
      </c>
      <c r="S4" s="43">
        <f t="shared" ref="S4:S15" ca="1" si="5">AQ4/R4</f>
        <v>27.047959664261676</v>
      </c>
      <c r="T4" s="43">
        <f ca="1">AR4/I4</f>
        <v>6.5118010281751735</v>
      </c>
      <c r="U4" s="42" t="s">
        <v>175</v>
      </c>
      <c r="V4" s="42" t="s">
        <v>175</v>
      </c>
      <c r="W4" s="43">
        <f ca="1">AR4/O4</f>
        <v>27.529565322366587</v>
      </c>
      <c r="X4" s="42" t="s">
        <v>175</v>
      </c>
      <c r="Y4" s="42" t="s">
        <v>175</v>
      </c>
      <c r="Z4" s="45">
        <f t="shared" ca="1" si="0"/>
        <v>0.5</v>
      </c>
      <c r="AA4" s="42" t="s">
        <v>175</v>
      </c>
      <c r="AB4" s="42" t="s">
        <v>175</v>
      </c>
      <c r="AC4" s="45">
        <f t="shared" si="1"/>
        <v>0.23653846153846153</v>
      </c>
      <c r="AD4" s="47" t="s">
        <v>175</v>
      </c>
      <c r="AE4" s="47" t="s">
        <v>175</v>
      </c>
      <c r="AF4" s="13">
        <f t="shared" ref="AF4:AF15" ca="1" si="6">RANDBETWEEN(1000,1200)</f>
        <v>1057</v>
      </c>
      <c r="AG4" s="26">
        <f t="shared" ca="1" si="2"/>
        <v>2.0326923076923076</v>
      </c>
      <c r="AH4" s="72">
        <f t="shared" ref="AH4:AH15" ca="1" si="7">RANDBETWEEN(123456,333456)</f>
        <v>158113</v>
      </c>
      <c r="AI4" s="26">
        <f t="shared" ca="1" si="3"/>
        <v>304.06346153846152</v>
      </c>
      <c r="AJ4" s="72">
        <f t="shared" ref="AJ4:AJ15" ca="1" si="8">RANDBETWEEN(123456,333456)</f>
        <v>151173</v>
      </c>
      <c r="AK4" s="26">
        <f t="shared" ref="AK4:AK15" ca="1" si="9">AJ4/I4</f>
        <v>290.71730769230771</v>
      </c>
      <c r="AL4" s="72">
        <f t="shared" ref="AL4:AL15" ca="1" si="10">RANDBETWEEN(123456,333456)</f>
        <v>276690</v>
      </c>
      <c r="AM4" s="55">
        <f t="shared" ref="AM4:AM15" ca="1" si="11">AL4/I4</f>
        <v>532.09615384615381</v>
      </c>
      <c r="AN4" s="43">
        <f t="shared" ref="AN4:AN15" ca="1" si="12">RAND()*20+10</f>
        <v>11.163430481691458</v>
      </c>
      <c r="AO4" s="43" t="s">
        <v>274</v>
      </c>
      <c r="AP4" s="43" t="s">
        <v>274</v>
      </c>
      <c r="AQ4" s="43">
        <f t="shared" ref="AQ4:AQ15" ca="1" si="13">(RAND()*30+1)*R4</f>
        <v>2704.7959664261675</v>
      </c>
      <c r="AR4" s="43">
        <f t="shared" ref="AR4:AR15" ca="1" si="14">RAND()*1500+3000</f>
        <v>3386.1365346510902</v>
      </c>
    </row>
    <row r="5" spans="1:54" x14ac:dyDescent="0.15">
      <c r="A5" s="1">
        <v>43071</v>
      </c>
      <c r="B5" s="38">
        <v>124</v>
      </c>
      <c r="C5" s="38">
        <v>50</v>
      </c>
      <c r="D5" s="38">
        <v>20</v>
      </c>
      <c r="E5" s="43">
        <v>0.78</v>
      </c>
      <c r="F5" s="38" t="s">
        <v>8</v>
      </c>
      <c r="G5">
        <v>10</v>
      </c>
      <c r="H5">
        <v>8</v>
      </c>
      <c r="I5">
        <v>520</v>
      </c>
      <c r="J5" t="s">
        <v>175</v>
      </c>
      <c r="K5" t="s">
        <v>175</v>
      </c>
      <c r="L5" s="41">
        <f t="shared" ca="1" si="4"/>
        <v>4</v>
      </c>
      <c r="M5" t="s">
        <v>175</v>
      </c>
      <c r="N5" t="s">
        <v>175</v>
      </c>
      <c r="O5">
        <v>123</v>
      </c>
      <c r="P5" s="42" t="s">
        <v>175</v>
      </c>
      <c r="Q5" s="42" t="s">
        <v>175</v>
      </c>
      <c r="R5" s="71">
        <v>100</v>
      </c>
      <c r="S5" s="43">
        <f t="shared" ca="1" si="5"/>
        <v>26.312452190380956</v>
      </c>
      <c r="T5" s="43">
        <f ca="1">AR5/I5</f>
        <v>8.2779635409463275</v>
      </c>
      <c r="U5" s="42" t="s">
        <v>175</v>
      </c>
      <c r="V5" s="42" t="s">
        <v>175</v>
      </c>
      <c r="W5" s="43">
        <f ca="1">AR5/O5</f>
        <v>34.996268628390979</v>
      </c>
      <c r="X5" s="42" t="s">
        <v>175</v>
      </c>
      <c r="Y5" s="42" t="s">
        <v>175</v>
      </c>
      <c r="Z5" s="45">
        <f t="shared" ca="1" si="0"/>
        <v>0.5</v>
      </c>
      <c r="AA5" s="42" t="s">
        <v>175</v>
      </c>
      <c r="AB5" s="42" t="s">
        <v>175</v>
      </c>
      <c r="AC5" s="45">
        <f t="shared" si="1"/>
        <v>0.23653846153846153</v>
      </c>
      <c r="AD5" s="47" t="s">
        <v>175</v>
      </c>
      <c r="AE5" s="47" t="s">
        <v>175</v>
      </c>
      <c r="AF5" s="13">
        <f t="shared" ca="1" si="6"/>
        <v>1082</v>
      </c>
      <c r="AG5" s="26">
        <f t="shared" ca="1" si="2"/>
        <v>2.0807692307692309</v>
      </c>
      <c r="AH5" s="72">
        <f t="shared" ca="1" si="7"/>
        <v>301581</v>
      </c>
      <c r="AI5" s="26">
        <f t="shared" ca="1" si="3"/>
        <v>579.9634615384615</v>
      </c>
      <c r="AJ5" s="72">
        <f t="shared" ca="1" si="8"/>
        <v>313109</v>
      </c>
      <c r="AK5" s="26">
        <f t="shared" ca="1" si="9"/>
        <v>602.13269230769231</v>
      </c>
      <c r="AL5" s="72">
        <f t="shared" ca="1" si="10"/>
        <v>291262</v>
      </c>
      <c r="AM5" s="55">
        <f t="shared" ca="1" si="11"/>
        <v>560.11923076923074</v>
      </c>
      <c r="AN5" s="43">
        <f t="shared" ca="1" si="12"/>
        <v>20.273136353401288</v>
      </c>
      <c r="AO5" s="43" t="s">
        <v>274</v>
      </c>
      <c r="AP5" s="43" t="s">
        <v>274</v>
      </c>
      <c r="AQ5" s="43">
        <f t="shared" ca="1" si="13"/>
        <v>2631.2452190380955</v>
      </c>
      <c r="AR5" s="43">
        <f t="shared" ca="1" si="14"/>
        <v>4304.5410412920901</v>
      </c>
    </row>
    <row r="6" spans="1:54" x14ac:dyDescent="0.15">
      <c r="A6" s="1">
        <v>43072</v>
      </c>
      <c r="B6" s="38">
        <v>123</v>
      </c>
      <c r="C6" s="38">
        <v>50</v>
      </c>
      <c r="D6" s="38">
        <v>20</v>
      </c>
      <c r="E6" s="43">
        <v>0.78</v>
      </c>
      <c r="F6" s="38" t="s">
        <v>8</v>
      </c>
      <c r="G6">
        <v>10</v>
      </c>
      <c r="H6">
        <v>8</v>
      </c>
      <c r="I6">
        <v>520</v>
      </c>
      <c r="J6">
        <v>1240</v>
      </c>
      <c r="K6" t="s">
        <v>175</v>
      </c>
      <c r="L6" s="41">
        <f t="shared" ca="1" si="4"/>
        <v>2</v>
      </c>
      <c r="M6" s="41">
        <f ca="1">RANDBETWEEN(10,20)</f>
        <v>16</v>
      </c>
      <c r="N6" t="s">
        <v>175</v>
      </c>
      <c r="O6">
        <v>123</v>
      </c>
      <c r="P6">
        <v>300</v>
      </c>
      <c r="Q6" s="42" t="s">
        <v>175</v>
      </c>
      <c r="R6" s="71">
        <v>100</v>
      </c>
      <c r="S6" s="43">
        <f t="shared" ca="1" si="5"/>
        <v>5.0684898135509968</v>
      </c>
      <c r="T6" s="43">
        <f ca="1">AR6/I6</f>
        <v>6.2039619227390324</v>
      </c>
      <c r="U6" s="43">
        <f ca="1">SUM(AR3:AR6)/P6</f>
        <v>49.713684888564352</v>
      </c>
      <c r="V6" s="42" t="s">
        <v>175</v>
      </c>
      <c r="W6" s="43">
        <f ca="1">AR6/O6</f>
        <v>26.228131705888593</v>
      </c>
      <c r="X6" s="43">
        <f ca="1">SUM(AR3:AR6)/P6</f>
        <v>49.713684888564352</v>
      </c>
      <c r="Y6" s="42" t="s">
        <v>175</v>
      </c>
      <c r="Z6" s="45">
        <f t="shared" ca="1" si="0"/>
        <v>0.25</v>
      </c>
      <c r="AA6" s="45">
        <f ca="1">M6/(SUM(H3:H6))</f>
        <v>0.5</v>
      </c>
      <c r="AB6" s="42" t="s">
        <v>175</v>
      </c>
      <c r="AC6" s="45">
        <f t="shared" si="1"/>
        <v>0.23653846153846153</v>
      </c>
      <c r="AD6" s="45">
        <f>P6/J6</f>
        <v>0.24193548387096775</v>
      </c>
      <c r="AE6" s="47" t="s">
        <v>175</v>
      </c>
      <c r="AF6" s="13">
        <f t="shared" ca="1" si="6"/>
        <v>1194</v>
      </c>
      <c r="AG6" s="26">
        <f t="shared" ca="1" si="2"/>
        <v>2.296153846153846</v>
      </c>
      <c r="AH6" s="72">
        <f t="shared" ca="1" si="7"/>
        <v>286113</v>
      </c>
      <c r="AI6" s="26">
        <f t="shared" ca="1" si="3"/>
        <v>550.21730769230771</v>
      </c>
      <c r="AJ6" s="72">
        <f t="shared" ca="1" si="8"/>
        <v>276342</v>
      </c>
      <c r="AK6" s="26">
        <f t="shared" ca="1" si="9"/>
        <v>531.42692307692312</v>
      </c>
      <c r="AL6" s="72">
        <f t="shared" ca="1" si="10"/>
        <v>221756</v>
      </c>
      <c r="AM6" s="55">
        <f t="shared" ca="1" si="11"/>
        <v>426.45384615384614</v>
      </c>
      <c r="AN6" s="43">
        <f t="shared" ca="1" si="12"/>
        <v>13.334713672891924</v>
      </c>
      <c r="AO6" s="43">
        <v>123</v>
      </c>
      <c r="AP6" s="43" t="s">
        <v>274</v>
      </c>
      <c r="AQ6" s="43">
        <f t="shared" ca="1" si="13"/>
        <v>506.84898135509968</v>
      </c>
      <c r="AR6" s="43">
        <f t="shared" ca="1" si="14"/>
        <v>3226.0601998242969</v>
      </c>
    </row>
    <row r="7" spans="1:54" x14ac:dyDescent="0.15">
      <c r="A7" s="1">
        <v>43073</v>
      </c>
      <c r="B7" s="38">
        <v>124</v>
      </c>
      <c r="C7" s="38">
        <v>50</v>
      </c>
      <c r="D7" s="38">
        <v>20</v>
      </c>
      <c r="E7" s="43">
        <v>0.78</v>
      </c>
      <c r="F7" s="38" t="s">
        <v>8</v>
      </c>
      <c r="G7">
        <v>10</v>
      </c>
      <c r="H7">
        <v>8</v>
      </c>
      <c r="I7">
        <v>520</v>
      </c>
      <c r="J7" t="s">
        <v>175</v>
      </c>
      <c r="K7" s="42" t="s">
        <v>175</v>
      </c>
      <c r="L7" s="41">
        <f t="shared" ca="1" si="4"/>
        <v>2</v>
      </c>
      <c r="M7" t="s">
        <v>175</v>
      </c>
      <c r="N7" s="42" t="s">
        <v>175</v>
      </c>
      <c r="O7">
        <v>123</v>
      </c>
      <c r="P7" s="42" t="s">
        <v>175</v>
      </c>
      <c r="Q7" s="42" t="s">
        <v>175</v>
      </c>
      <c r="R7" s="71">
        <v>100</v>
      </c>
      <c r="S7" s="43">
        <f t="shared" ca="1" si="5"/>
        <v>10.497398580957572</v>
      </c>
      <c r="T7" s="43">
        <f ca="1">AR7/I7</f>
        <v>7.1120208650023224</v>
      </c>
      <c r="U7" s="42" t="s">
        <v>175</v>
      </c>
      <c r="V7" s="42" t="s">
        <v>175</v>
      </c>
      <c r="W7" s="43">
        <f ca="1">AR7/O7</f>
        <v>30.067080079684615</v>
      </c>
      <c r="X7" s="42" t="s">
        <v>175</v>
      </c>
      <c r="Y7" s="42" t="s">
        <v>175</v>
      </c>
      <c r="Z7" s="45">
        <f t="shared" ca="1" si="0"/>
        <v>0.25</v>
      </c>
      <c r="AA7" s="42" t="s">
        <v>175</v>
      </c>
      <c r="AB7" s="42" t="s">
        <v>175</v>
      </c>
      <c r="AC7" s="45">
        <f t="shared" si="1"/>
        <v>0.23653846153846153</v>
      </c>
      <c r="AD7" s="47" t="s">
        <v>175</v>
      </c>
      <c r="AE7" s="47" t="s">
        <v>175</v>
      </c>
      <c r="AF7" s="13">
        <f t="shared" ca="1" si="6"/>
        <v>1188</v>
      </c>
      <c r="AG7" s="26">
        <f t="shared" ca="1" si="2"/>
        <v>2.2846153846153845</v>
      </c>
      <c r="AH7" s="72">
        <f t="shared" ca="1" si="7"/>
        <v>245837</v>
      </c>
      <c r="AI7" s="26">
        <f t="shared" ca="1" si="3"/>
        <v>472.76346153846151</v>
      </c>
      <c r="AJ7" s="72">
        <f t="shared" ca="1" si="8"/>
        <v>171002</v>
      </c>
      <c r="AK7" s="26">
        <f t="shared" ca="1" si="9"/>
        <v>328.85</v>
      </c>
      <c r="AL7" s="72">
        <f t="shared" ca="1" si="10"/>
        <v>149823</v>
      </c>
      <c r="AM7" s="55">
        <f t="shared" ca="1" si="11"/>
        <v>288.12115384615385</v>
      </c>
      <c r="AN7" s="43">
        <f t="shared" ca="1" si="12"/>
        <v>29.47698100628417</v>
      </c>
      <c r="AO7" s="43" t="s">
        <v>274</v>
      </c>
      <c r="AP7" s="43" t="s">
        <v>274</v>
      </c>
      <c r="AQ7" s="43">
        <f t="shared" ca="1" si="13"/>
        <v>1049.7398580957572</v>
      </c>
      <c r="AR7" s="43">
        <f t="shared" ca="1" si="14"/>
        <v>3698.2508498012076</v>
      </c>
    </row>
    <row r="8" spans="1:54" x14ac:dyDescent="0.15">
      <c r="A8" s="1">
        <v>43074</v>
      </c>
      <c r="B8" s="38">
        <v>124</v>
      </c>
      <c r="C8" s="38">
        <v>50</v>
      </c>
      <c r="D8" s="38">
        <v>20</v>
      </c>
      <c r="E8" s="43">
        <v>0.78</v>
      </c>
      <c r="F8" s="38" t="s">
        <v>8</v>
      </c>
      <c r="G8">
        <v>10</v>
      </c>
      <c r="H8">
        <v>8</v>
      </c>
      <c r="I8">
        <v>520</v>
      </c>
      <c r="J8" t="s">
        <v>175</v>
      </c>
      <c r="K8" t="s">
        <v>175</v>
      </c>
      <c r="L8" s="41">
        <f t="shared" ca="1" si="4"/>
        <v>4</v>
      </c>
      <c r="M8" t="s">
        <v>175</v>
      </c>
      <c r="N8" t="s">
        <v>175</v>
      </c>
      <c r="O8">
        <v>123</v>
      </c>
      <c r="P8" s="42" t="s">
        <v>175</v>
      </c>
      <c r="Q8" s="42" t="s">
        <v>175</v>
      </c>
      <c r="R8" s="71">
        <v>100</v>
      </c>
      <c r="S8" s="43">
        <f t="shared" ca="1" si="5"/>
        <v>3.379037804575312</v>
      </c>
      <c r="T8" s="43">
        <f ca="1">AR8/I8</f>
        <v>6.2272744562793187</v>
      </c>
      <c r="U8" s="42" t="s">
        <v>175</v>
      </c>
      <c r="V8" s="42" t="s">
        <v>175</v>
      </c>
      <c r="W8" s="43">
        <f ca="1">AR8/O8</f>
        <v>26.326688758254029</v>
      </c>
      <c r="X8" s="42" t="s">
        <v>175</v>
      </c>
      <c r="Y8" s="42" t="s">
        <v>175</v>
      </c>
      <c r="Z8" s="45">
        <f t="shared" ca="1" si="0"/>
        <v>0.5</v>
      </c>
      <c r="AA8" s="42" t="s">
        <v>175</v>
      </c>
      <c r="AB8" s="42" t="s">
        <v>175</v>
      </c>
      <c r="AC8" s="45">
        <f t="shared" si="1"/>
        <v>0.23653846153846153</v>
      </c>
      <c r="AD8" s="47" t="s">
        <v>175</v>
      </c>
      <c r="AE8" s="47" t="s">
        <v>175</v>
      </c>
      <c r="AF8" s="13">
        <f t="shared" ca="1" si="6"/>
        <v>1180</v>
      </c>
      <c r="AG8" s="26">
        <f t="shared" ca="1" si="2"/>
        <v>2.2692307692307692</v>
      </c>
      <c r="AH8" s="72">
        <f t="shared" ca="1" si="7"/>
        <v>219458</v>
      </c>
      <c r="AI8" s="26">
        <f t="shared" ca="1" si="3"/>
        <v>422.03461538461539</v>
      </c>
      <c r="AJ8" s="72">
        <f t="shared" ca="1" si="8"/>
        <v>307425</v>
      </c>
      <c r="AK8" s="26">
        <f t="shared" ca="1" si="9"/>
        <v>591.20192307692309</v>
      </c>
      <c r="AL8" s="72">
        <f t="shared" ca="1" si="10"/>
        <v>149556</v>
      </c>
      <c r="AM8" s="55">
        <f t="shared" ca="1" si="11"/>
        <v>287.60769230769233</v>
      </c>
      <c r="AN8" s="43">
        <f t="shared" ca="1" si="12"/>
        <v>19.035606149275772</v>
      </c>
      <c r="AO8" s="43" t="s">
        <v>274</v>
      </c>
      <c r="AP8" s="43" t="s">
        <v>274</v>
      </c>
      <c r="AQ8" s="43">
        <f t="shared" ca="1" si="13"/>
        <v>337.90378045753118</v>
      </c>
      <c r="AR8" s="43">
        <f t="shared" ca="1" si="14"/>
        <v>3238.1827172652456</v>
      </c>
    </row>
    <row r="9" spans="1:54" x14ac:dyDescent="0.15">
      <c r="A9" s="1">
        <v>43075</v>
      </c>
      <c r="B9" s="38">
        <v>124</v>
      </c>
      <c r="C9" s="38">
        <v>50</v>
      </c>
      <c r="D9" s="38">
        <v>20</v>
      </c>
      <c r="E9" s="43">
        <v>0.78</v>
      </c>
      <c r="F9" s="38" t="s">
        <v>8</v>
      </c>
      <c r="G9">
        <v>10</v>
      </c>
      <c r="H9">
        <v>8</v>
      </c>
      <c r="I9">
        <v>520</v>
      </c>
      <c r="J9" t="s">
        <v>175</v>
      </c>
      <c r="K9" t="s">
        <v>175</v>
      </c>
      <c r="L9" s="41">
        <f t="shared" ca="1" si="4"/>
        <v>2</v>
      </c>
      <c r="M9" t="s">
        <v>175</v>
      </c>
      <c r="N9" t="s">
        <v>175</v>
      </c>
      <c r="O9">
        <v>123</v>
      </c>
      <c r="P9" s="42" t="s">
        <v>175</v>
      </c>
      <c r="Q9" s="42" t="s">
        <v>175</v>
      </c>
      <c r="R9" s="71">
        <v>100</v>
      </c>
      <c r="S9" s="43">
        <f t="shared" ca="1" si="5"/>
        <v>4.9479581915551387</v>
      </c>
      <c r="T9" s="43">
        <f ca="1">AR9/I9</f>
        <v>7.998067873284544</v>
      </c>
      <c r="U9" s="42" t="s">
        <v>175</v>
      </c>
      <c r="V9" s="42" t="s">
        <v>175</v>
      </c>
      <c r="W9" s="43">
        <f ca="1">AR9/O9</f>
        <v>33.812969870796444</v>
      </c>
      <c r="X9" s="42" t="s">
        <v>175</v>
      </c>
      <c r="Y9" s="42" t="s">
        <v>175</v>
      </c>
      <c r="Z9" s="45">
        <f t="shared" ca="1" si="0"/>
        <v>0.25</v>
      </c>
      <c r="AA9" s="42" t="s">
        <v>175</v>
      </c>
      <c r="AB9" s="42" t="s">
        <v>175</v>
      </c>
      <c r="AC9" s="45">
        <f t="shared" si="1"/>
        <v>0.23653846153846153</v>
      </c>
      <c r="AD9" s="47" t="s">
        <v>175</v>
      </c>
      <c r="AE9" s="47" t="s">
        <v>175</v>
      </c>
      <c r="AF9" s="13">
        <f ca="1">RANDBETWEEN(1000,1200)</f>
        <v>1140</v>
      </c>
      <c r="AG9" s="26">
        <f t="shared" ca="1" si="2"/>
        <v>2.1923076923076925</v>
      </c>
      <c r="AH9" s="72">
        <f t="shared" ca="1" si="7"/>
        <v>312757</v>
      </c>
      <c r="AI9" s="26">
        <f t="shared" ca="1" si="3"/>
        <v>601.45576923076919</v>
      </c>
      <c r="AJ9" s="72">
        <f t="shared" ca="1" si="8"/>
        <v>138599</v>
      </c>
      <c r="AK9" s="26">
        <f t="shared" ca="1" si="9"/>
        <v>266.53653846153844</v>
      </c>
      <c r="AL9" s="72">
        <f t="shared" ca="1" si="10"/>
        <v>325142</v>
      </c>
      <c r="AM9" s="55">
        <f t="shared" ca="1" si="11"/>
        <v>625.27307692307693</v>
      </c>
      <c r="AN9" s="43">
        <f t="shared" ca="1" si="12"/>
        <v>18.772239802312821</v>
      </c>
      <c r="AO9" s="43" t="s">
        <v>274</v>
      </c>
      <c r="AP9" s="43" t="s">
        <v>274</v>
      </c>
      <c r="AQ9" s="43">
        <f t="shared" ca="1" si="13"/>
        <v>494.79581915551387</v>
      </c>
      <c r="AR9" s="43">
        <f t="shared" ca="1" si="14"/>
        <v>4158.9952941079628</v>
      </c>
    </row>
    <row r="10" spans="1:54" x14ac:dyDescent="0.15">
      <c r="A10" s="1">
        <v>43076</v>
      </c>
      <c r="B10" s="38">
        <v>124</v>
      </c>
      <c r="C10" s="38">
        <v>50</v>
      </c>
      <c r="D10" s="38">
        <v>20</v>
      </c>
      <c r="E10" s="43">
        <v>0.78</v>
      </c>
      <c r="F10" s="38" t="s">
        <v>8</v>
      </c>
      <c r="G10">
        <v>10</v>
      </c>
      <c r="H10">
        <v>8</v>
      </c>
      <c r="I10">
        <v>520</v>
      </c>
      <c r="J10" t="s">
        <v>175</v>
      </c>
      <c r="K10" s="42" t="s">
        <v>175</v>
      </c>
      <c r="L10" s="41">
        <f t="shared" ca="1" si="4"/>
        <v>1</v>
      </c>
      <c r="M10" t="s">
        <v>175</v>
      </c>
      <c r="N10" s="42" t="s">
        <v>175</v>
      </c>
      <c r="O10">
        <v>123</v>
      </c>
      <c r="P10" s="42" t="s">
        <v>175</v>
      </c>
      <c r="Q10" s="42" t="s">
        <v>175</v>
      </c>
      <c r="R10" s="71">
        <v>100</v>
      </c>
      <c r="S10" s="43">
        <f t="shared" ca="1" si="5"/>
        <v>26.812717582747972</v>
      </c>
      <c r="T10" s="43">
        <f ca="1">AR10/I10</f>
        <v>6.2139548263464714</v>
      </c>
      <c r="U10" s="42" t="s">
        <v>175</v>
      </c>
      <c r="V10" s="42" t="s">
        <v>175</v>
      </c>
      <c r="W10" s="43">
        <f ca="1">AR10/O10</f>
        <v>26.270378127643621</v>
      </c>
      <c r="X10" s="42" t="s">
        <v>175</v>
      </c>
      <c r="Y10" s="42" t="s">
        <v>175</v>
      </c>
      <c r="Z10" s="45">
        <f t="shared" ca="1" si="0"/>
        <v>0.125</v>
      </c>
      <c r="AA10" s="42" t="s">
        <v>175</v>
      </c>
      <c r="AB10" s="42" t="s">
        <v>175</v>
      </c>
      <c r="AC10" s="45">
        <f t="shared" si="1"/>
        <v>0.23653846153846153</v>
      </c>
      <c r="AD10" s="47" t="s">
        <v>175</v>
      </c>
      <c r="AE10" s="47" t="s">
        <v>175</v>
      </c>
      <c r="AF10" s="13">
        <f t="shared" ca="1" si="6"/>
        <v>1196</v>
      </c>
      <c r="AG10" s="26">
        <f t="shared" ca="1" si="2"/>
        <v>2.2999999999999998</v>
      </c>
      <c r="AH10" s="72">
        <f t="shared" ca="1" si="7"/>
        <v>249722</v>
      </c>
      <c r="AI10" s="26">
        <f t="shared" ca="1" si="3"/>
        <v>480.23461538461538</v>
      </c>
      <c r="AJ10" s="72">
        <f t="shared" ca="1" si="8"/>
        <v>134870</v>
      </c>
      <c r="AK10" s="26">
        <f t="shared" ca="1" si="9"/>
        <v>259.36538461538464</v>
      </c>
      <c r="AL10" s="72">
        <f t="shared" ca="1" si="10"/>
        <v>206629</v>
      </c>
      <c r="AM10" s="55">
        <f t="shared" ca="1" si="11"/>
        <v>397.36346153846154</v>
      </c>
      <c r="AN10" s="43">
        <f t="shared" ca="1" si="12"/>
        <v>17.758763539965898</v>
      </c>
      <c r="AO10" s="43" t="s">
        <v>274</v>
      </c>
      <c r="AP10" s="43" t="s">
        <v>274</v>
      </c>
      <c r="AQ10" s="43">
        <f t="shared" ca="1" si="13"/>
        <v>2681.2717582747973</v>
      </c>
      <c r="AR10" s="43">
        <f t="shared" ca="1" si="14"/>
        <v>3231.2565097001652</v>
      </c>
    </row>
    <row r="11" spans="1:54" x14ac:dyDescent="0.15">
      <c r="A11" s="1">
        <v>43077</v>
      </c>
      <c r="B11" s="38">
        <v>124</v>
      </c>
      <c r="C11" s="38">
        <v>50</v>
      </c>
      <c r="D11" s="38">
        <v>20</v>
      </c>
      <c r="E11" s="43">
        <v>0.78</v>
      </c>
      <c r="F11" s="38" t="s">
        <v>8</v>
      </c>
      <c r="G11">
        <v>10</v>
      </c>
      <c r="H11">
        <v>8</v>
      </c>
      <c r="I11">
        <v>520</v>
      </c>
      <c r="J11" t="s">
        <v>175</v>
      </c>
      <c r="K11" t="s">
        <v>175</v>
      </c>
      <c r="L11" s="41">
        <f t="shared" ca="1" si="4"/>
        <v>4</v>
      </c>
      <c r="M11" t="s">
        <v>175</v>
      </c>
      <c r="N11" t="s">
        <v>175</v>
      </c>
      <c r="O11">
        <v>123</v>
      </c>
      <c r="P11" s="42" t="s">
        <v>175</v>
      </c>
      <c r="Q11" s="42" t="s">
        <v>175</v>
      </c>
      <c r="R11" s="71">
        <v>100</v>
      </c>
      <c r="S11" s="43">
        <f t="shared" ca="1" si="5"/>
        <v>16.296518486207543</v>
      </c>
      <c r="T11" s="43">
        <f ca="1">AR11/I11</f>
        <v>6.6444666495448015</v>
      </c>
      <c r="U11" s="42" t="s">
        <v>175</v>
      </c>
      <c r="V11" s="42" t="s">
        <v>175</v>
      </c>
      <c r="W11" s="43">
        <f ca="1">AR11/O11</f>
        <v>28.090428111896724</v>
      </c>
      <c r="X11" s="42" t="s">
        <v>175</v>
      </c>
      <c r="Y11" s="42" t="s">
        <v>175</v>
      </c>
      <c r="Z11" s="45">
        <f t="shared" ca="1" si="0"/>
        <v>0.5</v>
      </c>
      <c r="AA11" s="42" t="s">
        <v>175</v>
      </c>
      <c r="AB11" s="42" t="s">
        <v>175</v>
      </c>
      <c r="AC11" s="45">
        <f t="shared" si="1"/>
        <v>0.23653846153846153</v>
      </c>
      <c r="AD11" s="47" t="s">
        <v>175</v>
      </c>
      <c r="AE11" s="47" t="s">
        <v>175</v>
      </c>
      <c r="AF11" s="13">
        <f t="shared" ca="1" si="6"/>
        <v>1088</v>
      </c>
      <c r="AG11" s="26">
        <f t="shared" ca="1" si="2"/>
        <v>2.0923076923076924</v>
      </c>
      <c r="AH11" s="72">
        <f t="shared" ca="1" si="7"/>
        <v>234365</v>
      </c>
      <c r="AI11" s="26">
        <f t="shared" ca="1" si="3"/>
        <v>450.70192307692309</v>
      </c>
      <c r="AJ11" s="72">
        <f t="shared" ca="1" si="8"/>
        <v>185360</v>
      </c>
      <c r="AK11" s="26">
        <f t="shared" ca="1" si="9"/>
        <v>356.46153846153845</v>
      </c>
      <c r="AL11" s="72">
        <f t="shared" ca="1" si="10"/>
        <v>291560</v>
      </c>
      <c r="AM11" s="55">
        <f t="shared" ca="1" si="11"/>
        <v>560.69230769230774</v>
      </c>
      <c r="AN11" s="43">
        <f t="shared" ca="1" si="12"/>
        <v>10.021921111815164</v>
      </c>
      <c r="AO11" s="43" t="s">
        <v>274</v>
      </c>
      <c r="AP11" s="43" t="s">
        <v>274</v>
      </c>
      <c r="AQ11" s="43">
        <f t="shared" ca="1" si="13"/>
        <v>1629.6518486207542</v>
      </c>
      <c r="AR11" s="43">
        <f t="shared" ca="1" si="14"/>
        <v>3455.122657763297</v>
      </c>
    </row>
    <row r="12" spans="1:54" x14ac:dyDescent="0.15">
      <c r="A12" s="1">
        <v>43078</v>
      </c>
      <c r="B12" s="38">
        <v>124</v>
      </c>
      <c r="C12" s="38">
        <v>50</v>
      </c>
      <c r="D12" s="38">
        <v>20</v>
      </c>
      <c r="E12" s="43">
        <v>0.78</v>
      </c>
      <c r="F12" s="38" t="s">
        <v>8</v>
      </c>
      <c r="G12">
        <v>10</v>
      </c>
      <c r="H12">
        <v>8</v>
      </c>
      <c r="I12">
        <v>520</v>
      </c>
      <c r="J12" t="s">
        <v>175</v>
      </c>
      <c r="K12" t="s">
        <v>175</v>
      </c>
      <c r="L12" s="41">
        <f t="shared" ca="1" si="4"/>
        <v>1</v>
      </c>
      <c r="M12" t="s">
        <v>175</v>
      </c>
      <c r="N12" t="s">
        <v>175</v>
      </c>
      <c r="O12">
        <v>123</v>
      </c>
      <c r="P12" s="42" t="s">
        <v>175</v>
      </c>
      <c r="Q12" s="42" t="s">
        <v>175</v>
      </c>
      <c r="R12" s="71">
        <v>100</v>
      </c>
      <c r="S12" s="43">
        <f t="shared" ca="1" si="5"/>
        <v>10.988573419249592</v>
      </c>
      <c r="T12" s="43">
        <f ca="1">AR12/I12</f>
        <v>5.8978921744772235</v>
      </c>
      <c r="U12" s="42" t="s">
        <v>175</v>
      </c>
      <c r="V12" s="42" t="s">
        <v>175</v>
      </c>
      <c r="W12" s="43">
        <f ca="1">AR12/O12</f>
        <v>24.934178298602898</v>
      </c>
      <c r="X12" s="42" t="s">
        <v>175</v>
      </c>
      <c r="Y12" s="42" t="s">
        <v>175</v>
      </c>
      <c r="Z12" s="45">
        <f t="shared" ca="1" si="0"/>
        <v>0.125</v>
      </c>
      <c r="AA12" s="42" t="s">
        <v>175</v>
      </c>
      <c r="AB12" s="42" t="s">
        <v>175</v>
      </c>
      <c r="AC12" s="45">
        <f t="shared" si="1"/>
        <v>0.23653846153846153</v>
      </c>
      <c r="AD12" s="47" t="s">
        <v>175</v>
      </c>
      <c r="AE12" s="47" t="s">
        <v>175</v>
      </c>
      <c r="AF12" s="13">
        <f t="shared" ca="1" si="6"/>
        <v>1129</v>
      </c>
      <c r="AG12" s="26">
        <f t="shared" ca="1" si="2"/>
        <v>2.171153846153846</v>
      </c>
      <c r="AH12" s="72">
        <f t="shared" ca="1" si="7"/>
        <v>215467</v>
      </c>
      <c r="AI12" s="26">
        <f t="shared" ca="1" si="3"/>
        <v>414.35961538461538</v>
      </c>
      <c r="AJ12" s="72">
        <f t="shared" ca="1" si="8"/>
        <v>226976</v>
      </c>
      <c r="AK12" s="26">
        <f t="shared" ca="1" si="9"/>
        <v>436.49230769230769</v>
      </c>
      <c r="AL12" s="72">
        <f t="shared" ca="1" si="10"/>
        <v>232074</v>
      </c>
      <c r="AM12" s="55">
        <f t="shared" ca="1" si="11"/>
        <v>446.29615384615386</v>
      </c>
      <c r="AN12" s="43">
        <f t="shared" ca="1" si="12"/>
        <v>20.214202247879996</v>
      </c>
      <c r="AO12" s="43" t="s">
        <v>274</v>
      </c>
      <c r="AP12" s="43" t="s">
        <v>274</v>
      </c>
      <c r="AQ12" s="43">
        <f t="shared" ca="1" si="13"/>
        <v>1098.8573419249592</v>
      </c>
      <c r="AR12" s="43">
        <f t="shared" ca="1" si="14"/>
        <v>3066.9039307281564</v>
      </c>
    </row>
    <row r="13" spans="1:54" x14ac:dyDescent="0.15">
      <c r="A13" s="1">
        <v>43079</v>
      </c>
      <c r="B13" s="38">
        <v>124</v>
      </c>
      <c r="C13" s="38">
        <v>50</v>
      </c>
      <c r="D13" s="38">
        <v>20</v>
      </c>
      <c r="E13" s="43">
        <v>0.78</v>
      </c>
      <c r="F13" s="38" t="s">
        <v>8</v>
      </c>
      <c r="G13">
        <v>10</v>
      </c>
      <c r="H13">
        <v>8</v>
      </c>
      <c r="I13">
        <v>520</v>
      </c>
      <c r="J13">
        <v>1480</v>
      </c>
      <c r="K13" s="42" t="s">
        <v>175</v>
      </c>
      <c r="L13" s="41">
        <f t="shared" ca="1" si="4"/>
        <v>3</v>
      </c>
      <c r="M13" s="41">
        <f ca="1">RANDBETWEEN(10,20)</f>
        <v>10</v>
      </c>
      <c r="N13" s="42" t="s">
        <v>175</v>
      </c>
      <c r="O13">
        <v>123</v>
      </c>
      <c r="P13">
        <v>300</v>
      </c>
      <c r="Q13" s="42" t="s">
        <v>175</v>
      </c>
      <c r="R13" s="71">
        <v>100</v>
      </c>
      <c r="S13" s="43">
        <f t="shared" ca="1" si="5"/>
        <v>3.3342072965156957</v>
      </c>
      <c r="T13" s="43">
        <f ca="1">AR13/I13</f>
        <v>7.933699156156333</v>
      </c>
      <c r="U13" s="43">
        <f ca="1">SUM(AR7:AR13)/P13</f>
        <v>83.247451735224416</v>
      </c>
      <c r="V13" s="42" t="s">
        <v>175</v>
      </c>
      <c r="W13" s="43">
        <f ca="1">AR13/O13</f>
        <v>33.540841960986121</v>
      </c>
      <c r="X13" s="43">
        <f ca="1">SUM(AR7:AR13)/P13</f>
        <v>83.247451735224416</v>
      </c>
      <c r="Y13" s="42" t="s">
        <v>175</v>
      </c>
      <c r="Z13" s="45">
        <f t="shared" ca="1" si="0"/>
        <v>0.375</v>
      </c>
      <c r="AA13" s="45">
        <f ca="1">M13/(SUM(H7:H13))</f>
        <v>0.17857142857142858</v>
      </c>
      <c r="AB13" s="42" t="s">
        <v>175</v>
      </c>
      <c r="AC13" s="45">
        <f t="shared" si="1"/>
        <v>0.23653846153846153</v>
      </c>
      <c r="AD13" s="45">
        <f>P13/J13</f>
        <v>0.20270270270270271</v>
      </c>
      <c r="AE13" s="47" t="s">
        <v>175</v>
      </c>
      <c r="AF13" s="13">
        <f t="shared" ca="1" si="6"/>
        <v>1128</v>
      </c>
      <c r="AG13" s="26">
        <f t="shared" ca="1" si="2"/>
        <v>2.1692307692307691</v>
      </c>
      <c r="AH13" s="72">
        <f t="shared" ca="1" si="7"/>
        <v>183411</v>
      </c>
      <c r="AI13" s="26">
        <f t="shared" ca="1" si="3"/>
        <v>352.71346153846156</v>
      </c>
      <c r="AJ13" s="72">
        <f t="shared" ca="1" si="8"/>
        <v>311570</v>
      </c>
      <c r="AK13" s="26">
        <f t="shared" ca="1" si="9"/>
        <v>599.17307692307691</v>
      </c>
      <c r="AL13" s="72">
        <f t="shared" ca="1" si="10"/>
        <v>160003</v>
      </c>
      <c r="AM13" s="55">
        <f t="shared" ca="1" si="11"/>
        <v>307.69807692307694</v>
      </c>
      <c r="AN13" s="43">
        <f t="shared" ca="1" si="12"/>
        <v>27.119038852622722</v>
      </c>
      <c r="AO13" s="43">
        <v>123</v>
      </c>
      <c r="AP13" s="43" t="s">
        <v>274</v>
      </c>
      <c r="AQ13" s="43">
        <f t="shared" ca="1" si="13"/>
        <v>333.42072965156956</v>
      </c>
      <c r="AR13" s="43">
        <f t="shared" ca="1" si="14"/>
        <v>4125.523561201293</v>
      </c>
    </row>
    <row r="14" spans="1:54" x14ac:dyDescent="0.15">
      <c r="A14" s="1">
        <v>43080</v>
      </c>
      <c r="B14" s="38">
        <v>124</v>
      </c>
      <c r="C14" s="38">
        <v>50</v>
      </c>
      <c r="D14" s="38">
        <v>20</v>
      </c>
      <c r="E14" s="43">
        <v>0.78</v>
      </c>
      <c r="F14" s="38" t="s">
        <v>8</v>
      </c>
      <c r="G14">
        <v>10</v>
      </c>
      <c r="H14">
        <v>8</v>
      </c>
      <c r="I14">
        <v>520</v>
      </c>
      <c r="J14" t="s">
        <v>175</v>
      </c>
      <c r="K14" t="s">
        <v>175</v>
      </c>
      <c r="L14" s="41">
        <f t="shared" ca="1" si="4"/>
        <v>2</v>
      </c>
      <c r="M14" t="s">
        <v>175</v>
      </c>
      <c r="N14" t="s">
        <v>175</v>
      </c>
      <c r="O14">
        <v>123</v>
      </c>
      <c r="P14" s="42" t="s">
        <v>175</v>
      </c>
      <c r="Q14" s="42" t="s">
        <v>175</v>
      </c>
      <c r="R14" s="71">
        <v>100</v>
      </c>
      <c r="S14" s="43">
        <f t="shared" ca="1" si="5"/>
        <v>28.543004283430086</v>
      </c>
      <c r="T14" s="43">
        <f ca="1">AR14/I14</f>
        <v>8.0384048804806216</v>
      </c>
      <c r="U14" s="42" t="s">
        <v>175</v>
      </c>
      <c r="V14" s="42" t="s">
        <v>175</v>
      </c>
      <c r="W14" s="43">
        <f ca="1">AR14/O14</f>
        <v>33.983500307722949</v>
      </c>
      <c r="X14" s="42" t="s">
        <v>175</v>
      </c>
      <c r="Y14" s="42" t="s">
        <v>175</v>
      </c>
      <c r="Z14" s="45">
        <f t="shared" ca="1" si="0"/>
        <v>0.25</v>
      </c>
      <c r="AA14" s="42" t="s">
        <v>175</v>
      </c>
      <c r="AB14" s="42" t="s">
        <v>175</v>
      </c>
      <c r="AC14" s="45">
        <f t="shared" si="1"/>
        <v>0.23653846153846153</v>
      </c>
      <c r="AD14" s="47" t="s">
        <v>175</v>
      </c>
      <c r="AE14" s="47" t="s">
        <v>175</v>
      </c>
      <c r="AF14" s="13">
        <f t="shared" ca="1" si="6"/>
        <v>1179</v>
      </c>
      <c r="AG14" s="26">
        <f t="shared" ca="1" si="2"/>
        <v>2.2673076923076922</v>
      </c>
      <c r="AH14" s="72">
        <f t="shared" ca="1" si="7"/>
        <v>136116</v>
      </c>
      <c r="AI14" s="26">
        <f t="shared" ca="1" si="3"/>
        <v>261.76153846153846</v>
      </c>
      <c r="AJ14" s="72">
        <f t="shared" ca="1" si="8"/>
        <v>315501</v>
      </c>
      <c r="AK14" s="26">
        <f t="shared" ca="1" si="9"/>
        <v>606.73269230769233</v>
      </c>
      <c r="AL14" s="72">
        <f t="shared" ca="1" si="10"/>
        <v>222526</v>
      </c>
      <c r="AM14" s="55">
        <f t="shared" ca="1" si="11"/>
        <v>427.93461538461537</v>
      </c>
      <c r="AN14" s="43">
        <f t="shared" ca="1" si="12"/>
        <v>10.713678534377852</v>
      </c>
      <c r="AO14" s="43" t="s">
        <v>274</v>
      </c>
      <c r="AP14" s="43" t="s">
        <v>274</v>
      </c>
      <c r="AQ14" s="43">
        <f t="shared" ca="1" si="13"/>
        <v>2854.3004283430087</v>
      </c>
      <c r="AR14" s="43">
        <f t="shared" ca="1" si="14"/>
        <v>4179.9705378499229</v>
      </c>
    </row>
    <row r="15" spans="1:54" x14ac:dyDescent="0.15">
      <c r="A15" s="1">
        <v>43081</v>
      </c>
      <c r="B15" s="38">
        <v>124</v>
      </c>
      <c r="C15" s="38">
        <v>50</v>
      </c>
      <c r="D15" s="38">
        <v>20</v>
      </c>
      <c r="E15" s="43">
        <v>0.78</v>
      </c>
      <c r="F15" s="38" t="s">
        <v>8</v>
      </c>
      <c r="G15">
        <v>10</v>
      </c>
      <c r="H15">
        <v>8</v>
      </c>
      <c r="I15">
        <v>520</v>
      </c>
      <c r="J15" t="s">
        <v>175</v>
      </c>
      <c r="K15" t="s">
        <v>175</v>
      </c>
      <c r="L15" s="41">
        <f t="shared" ca="1" si="4"/>
        <v>4</v>
      </c>
      <c r="M15" t="s">
        <v>175</v>
      </c>
      <c r="N15" t="s">
        <v>175</v>
      </c>
      <c r="O15">
        <v>123</v>
      </c>
      <c r="P15" s="42" t="s">
        <v>175</v>
      </c>
      <c r="Q15" s="42" t="s">
        <v>175</v>
      </c>
      <c r="R15" s="71">
        <v>100</v>
      </c>
      <c r="S15" s="43">
        <f t="shared" ca="1" si="5"/>
        <v>20.882705212804062</v>
      </c>
      <c r="T15" s="43">
        <f ca="1">AR15/I15</f>
        <v>6.8098746730258597</v>
      </c>
      <c r="U15" s="42" t="s">
        <v>175</v>
      </c>
      <c r="V15" s="42" t="s">
        <v>175</v>
      </c>
      <c r="W15" s="43">
        <f ca="1">AR15/O15</f>
        <v>28.789714064824775</v>
      </c>
      <c r="X15" s="42" t="s">
        <v>175</v>
      </c>
      <c r="Y15" s="42" t="s">
        <v>175</v>
      </c>
      <c r="Z15" s="45">
        <f t="shared" ca="1" si="0"/>
        <v>0.5</v>
      </c>
      <c r="AA15" s="42" t="s">
        <v>175</v>
      </c>
      <c r="AB15" s="42" t="s">
        <v>175</v>
      </c>
      <c r="AC15" s="45">
        <f t="shared" si="1"/>
        <v>0.23653846153846153</v>
      </c>
      <c r="AD15" s="47" t="s">
        <v>175</v>
      </c>
      <c r="AE15" s="47" t="s">
        <v>175</v>
      </c>
      <c r="AF15" s="13">
        <f t="shared" ca="1" si="6"/>
        <v>1002</v>
      </c>
      <c r="AG15" s="26">
        <f t="shared" ca="1" si="2"/>
        <v>1.926923076923077</v>
      </c>
      <c r="AH15" s="72">
        <f t="shared" ca="1" si="7"/>
        <v>232260</v>
      </c>
      <c r="AI15" s="26">
        <f t="shared" ca="1" si="3"/>
        <v>446.65384615384613</v>
      </c>
      <c r="AJ15" s="72">
        <f t="shared" ca="1" si="8"/>
        <v>188962</v>
      </c>
      <c r="AK15" s="26">
        <f t="shared" ca="1" si="9"/>
        <v>363.38846153846151</v>
      </c>
      <c r="AL15" s="72">
        <f t="shared" ca="1" si="10"/>
        <v>125540</v>
      </c>
      <c r="AM15" s="55">
        <f t="shared" ca="1" si="11"/>
        <v>241.42307692307693</v>
      </c>
      <c r="AN15" s="43">
        <f t="shared" ca="1" si="12"/>
        <v>15.372660790211576</v>
      </c>
      <c r="AO15" s="43" t="s">
        <v>274</v>
      </c>
      <c r="AP15" s="43" t="s">
        <v>274</v>
      </c>
      <c r="AQ15" s="43">
        <f t="shared" ca="1" si="13"/>
        <v>2088.2705212804062</v>
      </c>
      <c r="AR15" s="43">
        <f t="shared" ca="1" si="14"/>
        <v>3541.1348299734473</v>
      </c>
    </row>
    <row r="16" spans="1:54" s="6" customFormat="1" ht="189" x14ac:dyDescent="0.15">
      <c r="A16" s="6" t="s">
        <v>1</v>
      </c>
      <c r="B16" s="39" t="s">
        <v>48</v>
      </c>
      <c r="C16" s="39" t="s">
        <v>48</v>
      </c>
      <c r="D16" s="39" t="s">
        <v>48</v>
      </c>
      <c r="E16" s="39" t="s">
        <v>48</v>
      </c>
      <c r="F16" s="39" t="s">
        <v>49</v>
      </c>
      <c r="G16" s="6" t="s">
        <v>50</v>
      </c>
      <c r="H16" s="6" t="s">
        <v>264</v>
      </c>
      <c r="I16" s="6" t="s">
        <v>265</v>
      </c>
      <c r="J16" s="6" t="s">
        <v>180</v>
      </c>
      <c r="K16" s="6" t="s">
        <v>266</v>
      </c>
      <c r="L16" s="6" t="s">
        <v>210</v>
      </c>
      <c r="M16" s="6" t="s">
        <v>267</v>
      </c>
      <c r="N16" s="6" t="s">
        <v>237</v>
      </c>
      <c r="O16" s="6" t="s">
        <v>275</v>
      </c>
      <c r="P16" s="6" t="s">
        <v>276</v>
      </c>
      <c r="Q16" s="6" t="s">
        <v>179</v>
      </c>
      <c r="R16" s="6" t="s">
        <v>234</v>
      </c>
      <c r="S16" s="6" t="s">
        <v>280</v>
      </c>
      <c r="T16" s="6" t="s">
        <v>281</v>
      </c>
      <c r="U16" s="6" t="s">
        <v>184</v>
      </c>
      <c r="V16" s="6" t="s">
        <v>185</v>
      </c>
      <c r="W16" s="46" t="s">
        <v>282</v>
      </c>
      <c r="X16" s="46" t="s">
        <v>193</v>
      </c>
      <c r="Y16" s="46" t="s">
        <v>283</v>
      </c>
      <c r="Z16" s="46" t="s">
        <v>284</v>
      </c>
      <c r="AA16" s="46" t="s">
        <v>238</v>
      </c>
      <c r="AB16" s="46" t="s">
        <v>285</v>
      </c>
      <c r="AC16" s="46" t="s">
        <v>189</v>
      </c>
      <c r="AD16" s="46" t="s">
        <v>277</v>
      </c>
      <c r="AE16" s="46" t="s">
        <v>278</v>
      </c>
      <c r="AF16" s="49" t="s">
        <v>195</v>
      </c>
      <c r="AG16" s="49" t="s">
        <v>288</v>
      </c>
      <c r="AH16" s="6" t="s">
        <v>196</v>
      </c>
      <c r="AI16" s="6" t="s">
        <v>199</v>
      </c>
      <c r="AJ16" s="6" t="s">
        <v>197</v>
      </c>
      <c r="AK16" s="6" t="s">
        <v>201</v>
      </c>
      <c r="AL16" s="6" t="s">
        <v>194</v>
      </c>
      <c r="AM16" s="6" t="s">
        <v>205</v>
      </c>
      <c r="AN16" s="6" t="s">
        <v>269</v>
      </c>
      <c r="AO16" s="6" t="s">
        <v>270</v>
      </c>
      <c r="AP16" s="6" t="s">
        <v>271</v>
      </c>
      <c r="AQ16" s="6" t="s">
        <v>279</v>
      </c>
      <c r="AR16" s="6" t="s">
        <v>172</v>
      </c>
      <c r="AS16" s="6" t="s">
        <v>249</v>
      </c>
      <c r="AT16" s="6" t="s">
        <v>249</v>
      </c>
      <c r="AU16" s="6" t="s">
        <v>249</v>
      </c>
      <c r="AV16" s="6" t="s">
        <v>249</v>
      </c>
      <c r="AW16" s="6" t="s">
        <v>249</v>
      </c>
      <c r="AX16" s="6" t="s">
        <v>249</v>
      </c>
      <c r="AY16" s="6" t="s">
        <v>249</v>
      </c>
      <c r="AZ16" s="6" t="s">
        <v>249</v>
      </c>
      <c r="BA16" s="6" t="s">
        <v>249</v>
      </c>
      <c r="BB16" s="6" t="s">
        <v>249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1"/>
  <sheetViews>
    <sheetView workbookViewId="0">
      <selection activeCell="B1" sqref="B1:B1048576"/>
    </sheetView>
  </sheetViews>
  <sheetFormatPr defaultColWidth="7.75" defaultRowHeight="24" customHeight="1" x14ac:dyDescent="0.15"/>
  <cols>
    <col min="1" max="1" width="11.625" bestFit="1" customWidth="1"/>
    <col min="2" max="2" width="7.75" style="72"/>
    <col min="15" max="15" width="7.75" style="13"/>
    <col min="18" max="18" width="7.75" style="26"/>
    <col min="32" max="37" width="13.375" bestFit="1" customWidth="1"/>
    <col min="38" max="38" width="14.625" bestFit="1" customWidth="1"/>
  </cols>
  <sheetData>
    <row r="1" spans="1:38" s="3" customFormat="1" ht="24" customHeight="1" x14ac:dyDescent="0.15">
      <c r="A1" s="27" t="s">
        <v>51</v>
      </c>
      <c r="B1" s="73" t="s">
        <v>84</v>
      </c>
      <c r="C1" s="27" t="s">
        <v>122</v>
      </c>
      <c r="D1" s="27" t="s">
        <v>123</v>
      </c>
      <c r="E1" s="27" t="s">
        <v>15</v>
      </c>
      <c r="F1" s="27" t="s">
        <v>16</v>
      </c>
      <c r="G1" s="27" t="s">
        <v>17</v>
      </c>
      <c r="H1" s="27" t="s">
        <v>18</v>
      </c>
      <c r="I1" s="27" t="s">
        <v>19</v>
      </c>
      <c r="J1" s="27" t="s">
        <v>20</v>
      </c>
      <c r="K1" s="27" t="s">
        <v>21</v>
      </c>
      <c r="L1" s="27" t="s">
        <v>22</v>
      </c>
      <c r="M1" s="27" t="s">
        <v>23</v>
      </c>
      <c r="N1" s="27" t="s">
        <v>24</v>
      </c>
      <c r="O1" s="27" t="s">
        <v>25</v>
      </c>
      <c r="P1" s="27" t="s">
        <v>26</v>
      </c>
      <c r="Q1" s="27" t="s">
        <v>27</v>
      </c>
      <c r="R1" s="27" t="s">
        <v>28</v>
      </c>
      <c r="S1" s="27" t="s">
        <v>29</v>
      </c>
      <c r="T1" s="27" t="s">
        <v>30</v>
      </c>
      <c r="U1" s="27" t="s">
        <v>31</v>
      </c>
      <c r="V1" s="27" t="s">
        <v>32</v>
      </c>
      <c r="W1" s="27" t="s">
        <v>33</v>
      </c>
      <c r="X1" s="27" t="s">
        <v>34</v>
      </c>
      <c r="Y1" s="27" t="s">
        <v>35</v>
      </c>
      <c r="Z1" s="27" t="s">
        <v>36</v>
      </c>
      <c r="AA1" s="27" t="s">
        <v>37</v>
      </c>
      <c r="AB1" s="27" t="s">
        <v>38</v>
      </c>
      <c r="AC1" s="27" t="s">
        <v>39</v>
      </c>
      <c r="AD1" s="27" t="s">
        <v>40</v>
      </c>
      <c r="AE1" s="27" t="s">
        <v>41</v>
      </c>
      <c r="AF1" s="3" t="s">
        <v>256</v>
      </c>
      <c r="AG1" s="3" t="s">
        <v>257</v>
      </c>
      <c r="AH1" s="3" t="s">
        <v>258</v>
      </c>
      <c r="AI1" s="3" t="s">
        <v>259</v>
      </c>
      <c r="AJ1" s="3" t="s">
        <v>260</v>
      </c>
      <c r="AK1" s="3" t="s">
        <v>261</v>
      </c>
      <c r="AL1" s="3" t="s">
        <v>262</v>
      </c>
    </row>
    <row r="2" spans="1:38" ht="24" customHeight="1" x14ac:dyDescent="0.15">
      <c r="A2" s="59">
        <v>43054</v>
      </c>
      <c r="B2" s="74">
        <f ca="1">RANDBETWEEN(10,150)</f>
        <v>42</v>
      </c>
      <c r="C2" s="31">
        <f ca="1">RAND()*0.2+0.6</f>
        <v>0.64897773960450311</v>
      </c>
      <c r="D2" s="31">
        <f ca="1">RAND()*0.1+0.5</f>
        <v>0.58473263406992915</v>
      </c>
      <c r="E2" s="31">
        <f ca="1">RAND()*0.1+0.5</f>
        <v>0.51906584288728819</v>
      </c>
      <c r="F2" s="31">
        <f ca="1">RAND()*0.05+0.45</f>
        <v>0.47813820754976749</v>
      </c>
      <c r="G2" s="31">
        <f ca="1">RAND()*0.05+0.4</f>
        <v>0.44353742118727618</v>
      </c>
      <c r="H2" s="31">
        <f ca="1">RAND()*0.025+0.375</f>
        <v>0.38332577138828494</v>
      </c>
      <c r="I2" s="31">
        <f ca="1">RAND()*0.02+0.35</f>
        <v>0.36377228768096409</v>
      </c>
      <c r="J2" s="31">
        <f ca="1">RAND()*0.025+0.3</f>
        <v>0.31237718844984252</v>
      </c>
      <c r="K2" s="31">
        <f ca="1">RAND()*0.01+0.29</f>
        <v>0.29990181799892346</v>
      </c>
      <c r="L2" s="31">
        <f ca="1">RAND()*0.01+0.28</f>
        <v>0.28330887604469679</v>
      </c>
      <c r="M2" s="31">
        <f ca="1">RAND()*0.01+0.22</f>
        <v>0.2259613000367125</v>
      </c>
      <c r="N2" s="31">
        <f ca="1">RAND()*0.02+0.2</f>
        <v>0.20162007631829879</v>
      </c>
      <c r="O2" s="31">
        <f ca="1">RAND()*0.01+0.18</f>
        <v>0.18770853478781638</v>
      </c>
      <c r="P2" s="31">
        <f ca="1">RAND()*0.01+0.15</f>
        <v>0.1565528089629778</v>
      </c>
      <c r="Q2" s="31">
        <f ca="1">RAND()*0.01+0.14</f>
        <v>0.14231915781269211</v>
      </c>
      <c r="R2" s="31">
        <f ca="1">RAND()*0.01+0.135</f>
        <v>0.14232148955939131</v>
      </c>
      <c r="S2" s="31">
        <f ca="1">RAND()*0.01+0.135</f>
        <v>0.1408660042945328</v>
      </c>
      <c r="T2" s="31">
        <f ca="1">RAND()*0.01+0.135</f>
        <v>0.13925766858310612</v>
      </c>
      <c r="U2" s="31">
        <f ca="1">RAND()*0.01+0.12</f>
        <v>0.12537870615506866</v>
      </c>
      <c r="V2" s="31">
        <f ca="1">RAND()*0.01+0.12</f>
        <v>0.12599777621639396</v>
      </c>
      <c r="W2" s="31">
        <f ca="1">RAND()*0.01+0.118</f>
        <v>0.12738731171605044</v>
      </c>
      <c r="X2" s="31">
        <f ca="1">RAND()*0.01+0.115</f>
        <v>0.11793445104663297</v>
      </c>
      <c r="Y2" s="31">
        <f ca="1">RAND()*0.01+0.114</f>
        <v>0.12392157458175734</v>
      </c>
      <c r="Z2" s="31">
        <f ca="1">RAND()*0.01+0.112</f>
        <v>0.11801204363663345</v>
      </c>
      <c r="AA2" s="31">
        <f ca="1">RAND()*0.01+0.111</f>
        <v>0.11831723642968803</v>
      </c>
      <c r="AB2" s="31">
        <f ca="1">RAND()*0.01+0.09</f>
        <v>9.9549192859776703E-2</v>
      </c>
      <c r="AC2" s="31">
        <f ca="1">RAND()*0.01+0.088</f>
        <v>9.4059823739099685E-2</v>
      </c>
      <c r="AD2" s="31">
        <f ca="1">RAND()*0.01+0.085</f>
        <v>8.6050206641823362E-2</v>
      </c>
      <c r="AE2" s="31">
        <f ca="1">RAND()*0.01+0.082</f>
        <v>8.4026262153795883E-2</v>
      </c>
    </row>
    <row r="3" spans="1:38" ht="24" customHeight="1" x14ac:dyDescent="0.15">
      <c r="A3" s="60"/>
      <c r="B3" s="74"/>
      <c r="C3" s="32">
        <f ca="1">C2*B2</f>
        <v>27.257065063389131</v>
      </c>
      <c r="D3" s="32">
        <f ca="1">D2*B2</f>
        <v>24.558770630937023</v>
      </c>
      <c r="E3" s="32">
        <f ca="1">E2*B2</f>
        <v>21.800765401266105</v>
      </c>
      <c r="F3" s="32">
        <f ca="1">F2*B2</f>
        <v>20.081804717090236</v>
      </c>
      <c r="G3" s="32">
        <f ca="1">G2*B2</f>
        <v>18.628571689865598</v>
      </c>
      <c r="H3" s="32">
        <f ca="1">H2*B2</f>
        <v>16.099682398307969</v>
      </c>
      <c r="I3" s="33">
        <f ca="1">I2*B2</f>
        <v>15.278436082600491</v>
      </c>
      <c r="J3" s="33">
        <f ca="1">J2*B2</f>
        <v>13.119841914893385</v>
      </c>
      <c r="K3" s="34">
        <f ca="1">K2*B2</f>
        <v>12.595876355954786</v>
      </c>
      <c r="L3" s="34">
        <f ca="1">L2*B2</f>
        <v>11.898972793877265</v>
      </c>
      <c r="M3" s="34">
        <f ca="1">M2*B2</f>
        <v>9.4903746015419248</v>
      </c>
      <c r="N3" s="34">
        <f ca="1">N2*B2</f>
        <v>8.4680432053685486</v>
      </c>
      <c r="O3" s="34">
        <f ca="1">O2*B2</f>
        <v>7.8837584610882878</v>
      </c>
      <c r="P3" s="34">
        <f ca="1">B2*P2</f>
        <v>6.5752179764450673</v>
      </c>
      <c r="Q3" s="34">
        <f ca="1">Q2*B2</f>
        <v>5.9774046281330691</v>
      </c>
      <c r="R3" s="34">
        <f ca="1">R2*B2</f>
        <v>5.9775025614944353</v>
      </c>
      <c r="S3" s="34">
        <f ca="1">S2*B2</f>
        <v>5.9163721803703782</v>
      </c>
      <c r="T3" s="34">
        <f ca="1">T2*B2</f>
        <v>5.8488220804904572</v>
      </c>
      <c r="U3" s="34">
        <f ca="1">U2*B2</f>
        <v>5.2659056585128834</v>
      </c>
      <c r="V3" s="34">
        <f ca="1">V2*B2</f>
        <v>5.2919066010885469</v>
      </c>
      <c r="W3" s="34">
        <f ca="1">W2*B2</f>
        <v>5.3502670920741187</v>
      </c>
      <c r="X3" s="34">
        <f ca="1">X2*B2</f>
        <v>4.9532469439585851</v>
      </c>
      <c r="Y3" s="34">
        <f ca="1">Y2*B2</f>
        <v>5.2047061324338086</v>
      </c>
      <c r="Z3" s="34">
        <f ca="1">Z2*B2</f>
        <v>4.9565058327386051</v>
      </c>
      <c r="AA3" s="34">
        <f ca="1">AA2*B2</f>
        <v>4.9693239300468974</v>
      </c>
      <c r="AB3" s="34">
        <f ca="1">AB2*B2</f>
        <v>4.1810661001106215</v>
      </c>
      <c r="AC3" s="34">
        <f ca="1">AC2*B2</f>
        <v>3.9505125970421866</v>
      </c>
      <c r="AD3" s="34">
        <f ca="1">AD2*B2</f>
        <v>3.6141086789565811</v>
      </c>
      <c r="AE3" s="34">
        <f ca="1">AE2*B2</f>
        <v>3.5291030104594272</v>
      </c>
    </row>
    <row r="4" spans="1:38" ht="24" customHeight="1" x14ac:dyDescent="0.15">
      <c r="A4" s="59">
        <v>43055</v>
      </c>
      <c r="B4" s="74">
        <f t="shared" ref="B4" ca="1" si="0">RANDBETWEEN(10,150)</f>
        <v>137</v>
      </c>
      <c r="C4" s="31">
        <f t="shared" ref="C4" ca="1" si="1">RAND()*0.2+0.6</f>
        <v>0.72061930950227437</v>
      </c>
      <c r="D4" s="31">
        <f t="shared" ref="D4:E4" ca="1" si="2">RAND()*0.1+0.5</f>
        <v>0.52993863547819897</v>
      </c>
      <c r="E4" s="31">
        <f t="shared" ca="1" si="2"/>
        <v>0.57530945826739399</v>
      </c>
      <c r="F4" s="31">
        <f t="shared" ref="F4" ca="1" si="3">RAND()*0.05+0.45</f>
        <v>0.4714608879973643</v>
      </c>
      <c r="G4" s="31">
        <f t="shared" ref="G4" ca="1" si="4">RAND()*0.05+0.4</f>
        <v>0.4038478061353889</v>
      </c>
      <c r="H4" s="31">
        <f t="shared" ref="H4" ca="1" si="5">RAND()*0.025+0.375</f>
        <v>0.38236391247946877</v>
      </c>
      <c r="I4" s="31">
        <f t="shared" ref="I4" ca="1" si="6">RAND()*0.02+0.35</f>
        <v>0.35167379545864025</v>
      </c>
      <c r="J4" s="31">
        <f t="shared" ref="J4" ca="1" si="7">RAND()*0.025+0.3</f>
        <v>0.32377454364385083</v>
      </c>
      <c r="K4" s="31">
        <f t="shared" ref="K4" ca="1" si="8">RAND()*0.01+0.29</f>
        <v>0.29994151331874519</v>
      </c>
      <c r="L4" s="31">
        <f t="shared" ref="L4" ca="1" si="9">RAND()*0.01+0.28</f>
        <v>0.28494844562237542</v>
      </c>
      <c r="M4" s="31">
        <f t="shared" ref="M4" ca="1" si="10">RAND()*0.01+0.22</f>
        <v>0.22853360015619306</v>
      </c>
      <c r="N4" s="31">
        <f t="shared" ref="N4" ca="1" si="11">RAND()*0.02+0.2</f>
        <v>0.20424635427151197</v>
      </c>
      <c r="O4" s="31">
        <f t="shared" ref="O4" ca="1" si="12">RAND()*0.01+0.18</f>
        <v>0.18829065814714474</v>
      </c>
      <c r="P4" s="31">
        <f t="shared" ref="P4" ca="1" si="13">RAND()*0.01+0.15</f>
        <v>0.15483002775199864</v>
      </c>
      <c r="Q4" s="31">
        <f t="shared" ref="Q4" ca="1" si="14">RAND()*0.01+0.14</f>
        <v>0.14988418975538251</v>
      </c>
      <c r="R4" s="31">
        <f t="shared" ref="R4:T4" ca="1" si="15">RAND()*0.01+0.135</f>
        <v>0.13752642695999448</v>
      </c>
      <c r="S4" s="31">
        <f t="shared" ca="1" si="15"/>
        <v>0.14076946569289303</v>
      </c>
      <c r="T4" s="31">
        <f t="shared" ca="1" si="15"/>
        <v>0.13908729101314471</v>
      </c>
      <c r="U4" s="31">
        <f t="shared" ref="U4:V4" ca="1" si="16">RAND()*0.01+0.12</f>
        <v>0.12400902976538206</v>
      </c>
      <c r="V4" s="31">
        <f t="shared" ca="1" si="16"/>
        <v>0.12106785017675636</v>
      </c>
      <c r="W4" s="31">
        <f t="shared" ref="W4" ca="1" si="17">RAND()*0.01+0.118</f>
        <v>0.12568666095431955</v>
      </c>
      <c r="X4" s="31">
        <f t="shared" ref="X4" ca="1" si="18">RAND()*0.01+0.115</f>
        <v>0.12175018018757683</v>
      </c>
      <c r="Y4" s="31">
        <f t="shared" ref="Y4" ca="1" si="19">RAND()*0.01+0.114</f>
        <v>0.12309962948146967</v>
      </c>
      <c r="Z4" s="31">
        <f t="shared" ref="Z4" ca="1" si="20">RAND()*0.01+0.112</f>
        <v>0.11238222785855109</v>
      </c>
      <c r="AA4" s="31">
        <f t="shared" ref="AA4" ca="1" si="21">RAND()*0.01+0.111</f>
        <v>0.11664442614180048</v>
      </c>
      <c r="AB4" s="31">
        <f t="shared" ref="AB4" ca="1" si="22">RAND()*0.01+0.09</f>
        <v>9.7570673956310333E-2</v>
      </c>
      <c r="AC4" s="31">
        <f t="shared" ref="AC4" ca="1" si="23">RAND()*0.01+0.088</f>
        <v>9.5741822079678462E-2</v>
      </c>
      <c r="AD4" s="31">
        <f ca="1">RAND()*0.01+0.085</f>
        <v>9.4222429455972062E-2</v>
      </c>
      <c r="AE4" s="36"/>
    </row>
    <row r="5" spans="1:38" ht="24" customHeight="1" x14ac:dyDescent="0.15">
      <c r="A5" s="60"/>
      <c r="B5" s="74"/>
      <c r="C5" s="32">
        <f t="shared" ref="C5" ca="1" si="24">C4*B4</f>
        <v>98.724845401811592</v>
      </c>
      <c r="D5" s="32">
        <f t="shared" ref="D5" ca="1" si="25">D4*B4</f>
        <v>72.601593060513252</v>
      </c>
      <c r="E5" s="32">
        <f t="shared" ref="E5" ca="1" si="26">E4*B4</f>
        <v>78.817395782632971</v>
      </c>
      <c r="F5" s="32">
        <f t="shared" ref="F5" ca="1" si="27">F4*B4</f>
        <v>64.590141655638902</v>
      </c>
      <c r="G5" s="32">
        <f t="shared" ref="G5" ca="1" si="28">G4*B4</f>
        <v>55.327149440548276</v>
      </c>
      <c r="H5" s="32">
        <f t="shared" ref="H5" ca="1" si="29">H4*B4</f>
        <v>52.383856009687221</v>
      </c>
      <c r="I5" s="33">
        <f t="shared" ref="I5" ca="1" si="30">I4*B4</f>
        <v>48.179309977833711</v>
      </c>
      <c r="J5" s="33">
        <f t="shared" ref="J5" ca="1" si="31">J4*B4</f>
        <v>44.357112479207565</v>
      </c>
      <c r="K5" s="34">
        <f t="shared" ref="K5" ca="1" si="32">K4*B4</f>
        <v>41.091987324668089</v>
      </c>
      <c r="L5" s="34">
        <f t="shared" ref="L5" ca="1" si="33">L4*B4</f>
        <v>39.037937050265434</v>
      </c>
      <c r="M5" s="34">
        <f t="shared" ref="M5" ca="1" si="34">M4*B4</f>
        <v>31.309103221398448</v>
      </c>
      <c r="N5" s="34">
        <f t="shared" ref="N5" ca="1" si="35">N4*B4</f>
        <v>27.98175053519714</v>
      </c>
      <c r="O5" s="34">
        <f t="shared" ref="O5" ca="1" si="36">O4*B4</f>
        <v>25.79582016615883</v>
      </c>
      <c r="P5" s="34">
        <f t="shared" ref="P5" ca="1" si="37">B4*P4</f>
        <v>21.211713802023812</v>
      </c>
      <c r="Q5" s="34">
        <f t="shared" ref="Q5" ca="1" si="38">Q4*B4</f>
        <v>20.534133996487405</v>
      </c>
      <c r="R5" s="34">
        <f t="shared" ref="R5" ca="1" si="39">R4*B4</f>
        <v>18.841120493519245</v>
      </c>
      <c r="S5" s="34">
        <f t="shared" ref="S5" ca="1" si="40">S4*B4</f>
        <v>19.285416799926345</v>
      </c>
      <c r="T5" s="34">
        <f t="shared" ref="T5" ca="1" si="41">T4*B4</f>
        <v>19.054958868800824</v>
      </c>
      <c r="U5" s="34">
        <f t="shared" ref="U5" ca="1" si="42">U4*B4</f>
        <v>16.989237077857343</v>
      </c>
      <c r="V5" s="34">
        <f t="shared" ref="V5" ca="1" si="43">V4*B4</f>
        <v>16.586295474215621</v>
      </c>
      <c r="W5" s="34">
        <f t="shared" ref="W5" ca="1" si="44">W4*B4</f>
        <v>17.219072550741778</v>
      </c>
      <c r="X5" s="34">
        <f t="shared" ref="X5" ca="1" si="45">X4*B4</f>
        <v>16.679774685698025</v>
      </c>
      <c r="Y5" s="34">
        <f t="shared" ref="Y5" ca="1" si="46">Y4*B4</f>
        <v>16.864649238961345</v>
      </c>
      <c r="Z5" s="34">
        <f t="shared" ref="Z5" ca="1" si="47">Z4*B4</f>
        <v>15.396365216621499</v>
      </c>
      <c r="AA5" s="34">
        <f t="shared" ref="AA5" ca="1" si="48">AA4*B4</f>
        <v>15.980286381426666</v>
      </c>
      <c r="AB5" s="34">
        <f t="shared" ref="AB5" ca="1" si="49">AB4*B4</f>
        <v>13.367182332014515</v>
      </c>
      <c r="AC5" s="34">
        <f t="shared" ref="AC5" ca="1" si="50">AC4*B4</f>
        <v>13.11662962491595</v>
      </c>
      <c r="AD5" s="34">
        <f ca="1">AD4*B4</f>
        <v>12.908472835468173</v>
      </c>
      <c r="AE5" s="36"/>
    </row>
    <row r="6" spans="1:38" ht="24" customHeight="1" x14ac:dyDescent="0.15">
      <c r="A6" s="59">
        <v>43056</v>
      </c>
      <c r="B6" s="74">
        <f t="shared" ref="B6" ca="1" si="51">RANDBETWEEN(10,150)</f>
        <v>142</v>
      </c>
      <c r="C6" s="31">
        <f t="shared" ref="C6" ca="1" si="52">RAND()*0.2+0.6</f>
        <v>0.61268553977120144</v>
      </c>
      <c r="D6" s="31">
        <f t="shared" ref="D6:E6" ca="1" si="53">RAND()*0.1+0.5</f>
        <v>0.5965900934010907</v>
      </c>
      <c r="E6" s="31">
        <f t="shared" ca="1" si="53"/>
        <v>0.55353506413006792</v>
      </c>
      <c r="F6" s="31">
        <f t="shared" ref="F6" ca="1" si="54">RAND()*0.05+0.45</f>
        <v>0.45159443631640872</v>
      </c>
      <c r="G6" s="31">
        <f t="shared" ref="G6" ca="1" si="55">RAND()*0.05+0.4</f>
        <v>0.40191259934135087</v>
      </c>
      <c r="H6" s="31">
        <f t="shared" ref="H6" ca="1" si="56">RAND()*0.025+0.375</f>
        <v>0.38830093323014575</v>
      </c>
      <c r="I6" s="31">
        <f t="shared" ref="I6" ca="1" si="57">RAND()*0.02+0.35</f>
        <v>0.35264992228325098</v>
      </c>
      <c r="J6" s="31">
        <f t="shared" ref="J6" ca="1" si="58">RAND()*0.025+0.3</f>
        <v>0.32244681770418693</v>
      </c>
      <c r="K6" s="31">
        <f t="shared" ref="K6" ca="1" si="59">RAND()*0.01+0.29</f>
        <v>0.29813906806617357</v>
      </c>
      <c r="L6" s="31">
        <f t="shared" ref="L6" ca="1" si="60">RAND()*0.01+0.28</f>
        <v>0.28028119449101901</v>
      </c>
      <c r="M6" s="31">
        <f t="shared" ref="M6" ca="1" si="61">RAND()*0.01+0.22</f>
        <v>0.22586485974114137</v>
      </c>
      <c r="N6" s="31">
        <f t="shared" ref="N6" ca="1" si="62">RAND()*0.02+0.2</f>
        <v>0.2119318503626855</v>
      </c>
      <c r="O6" s="31">
        <f t="shared" ref="O6" ca="1" si="63">RAND()*0.01+0.18</f>
        <v>0.18893978616712745</v>
      </c>
      <c r="P6" s="31">
        <f t="shared" ref="P6" ca="1" si="64">RAND()*0.01+0.15</f>
        <v>0.1565304030716656</v>
      </c>
      <c r="Q6" s="31">
        <f t="shared" ref="Q6" ca="1" si="65">RAND()*0.01+0.14</f>
        <v>0.14669663910089323</v>
      </c>
      <c r="R6" s="31">
        <f t="shared" ref="R6:T6" ca="1" si="66">RAND()*0.01+0.135</f>
        <v>0.13563014379771282</v>
      </c>
      <c r="S6" s="31">
        <f t="shared" ca="1" si="66"/>
        <v>0.14109209180387838</v>
      </c>
      <c r="T6" s="31">
        <f t="shared" ca="1" si="66"/>
        <v>0.13635163081931997</v>
      </c>
      <c r="U6" s="31">
        <f t="shared" ref="U6:V6" ca="1" si="67">RAND()*0.01+0.12</f>
        <v>0.12060785603715839</v>
      </c>
      <c r="V6" s="31">
        <f t="shared" ca="1" si="67"/>
        <v>0.12801905016313342</v>
      </c>
      <c r="W6" s="31">
        <f t="shared" ref="W6" ca="1" si="68">RAND()*0.01+0.118</f>
        <v>0.12340503199497489</v>
      </c>
      <c r="X6" s="31">
        <f t="shared" ref="X6" ca="1" si="69">RAND()*0.01+0.115</f>
        <v>0.11721522975637244</v>
      </c>
      <c r="Y6" s="31">
        <f t="shared" ref="Y6" ca="1" si="70">RAND()*0.01+0.114</f>
        <v>0.1148227149076539</v>
      </c>
      <c r="Z6" s="31">
        <f t="shared" ref="Z6" ca="1" si="71">RAND()*0.01+0.112</f>
        <v>0.11930830408252488</v>
      </c>
      <c r="AA6" s="31">
        <f t="shared" ref="AA6" ca="1" si="72">RAND()*0.01+0.111</f>
        <v>0.11234086823003622</v>
      </c>
      <c r="AB6" s="31">
        <f t="shared" ref="AB6" ca="1" si="73">RAND()*0.01+0.09</f>
        <v>9.5564412946792049E-2</v>
      </c>
      <c r="AC6" s="31">
        <f t="shared" ref="AC6" ca="1" si="74">RAND()*0.01+0.088</f>
        <v>9.6555383302078857E-2</v>
      </c>
      <c r="AD6" s="36"/>
      <c r="AE6" s="36"/>
    </row>
    <row r="7" spans="1:38" ht="24" customHeight="1" x14ac:dyDescent="0.15">
      <c r="A7" s="60"/>
      <c r="B7" s="74"/>
      <c r="C7" s="32">
        <f t="shared" ref="C7" ca="1" si="75">C6*B6</f>
        <v>87.001346647510601</v>
      </c>
      <c r="D7" s="32">
        <f t="shared" ref="D7" ca="1" si="76">D6*B6</f>
        <v>84.715793262954875</v>
      </c>
      <c r="E7" s="32">
        <f t="shared" ref="E7" ca="1" si="77">E6*B6</f>
        <v>78.601979106469642</v>
      </c>
      <c r="F7" s="32">
        <f t="shared" ref="F7" ca="1" si="78">F6*B6</f>
        <v>64.126409956930033</v>
      </c>
      <c r="G7" s="32">
        <f t="shared" ref="G7" ca="1" si="79">G6*B6</f>
        <v>57.071589106471826</v>
      </c>
      <c r="H7" s="32">
        <f t="shared" ref="H7" ca="1" si="80">H6*B6</f>
        <v>55.138732518680698</v>
      </c>
      <c r="I7" s="33">
        <f t="shared" ref="I7" ca="1" si="81">I6*B6</f>
        <v>50.076288964221639</v>
      </c>
      <c r="J7" s="33">
        <f t="shared" ref="J7" ca="1" si="82">J6*B6</f>
        <v>45.787448113994543</v>
      </c>
      <c r="K7" s="34">
        <f t="shared" ref="K7" ca="1" si="83">K6*B6</f>
        <v>42.335747665396646</v>
      </c>
      <c r="L7" s="34">
        <f t="shared" ref="L7" ca="1" si="84">L6*B6</f>
        <v>39.7999296177247</v>
      </c>
      <c r="M7" s="34">
        <f t="shared" ref="M7" ca="1" si="85">M6*B6</f>
        <v>32.072810083242075</v>
      </c>
      <c r="N7" s="34">
        <f t="shared" ref="N7" ca="1" si="86">N6*B6</f>
        <v>30.094322751501341</v>
      </c>
      <c r="O7" s="34">
        <f t="shared" ref="O7" ca="1" si="87">O6*B6</f>
        <v>26.829449635732097</v>
      </c>
      <c r="P7" s="34">
        <f t="shared" ref="P7" ca="1" si="88">B6*P6</f>
        <v>22.227317236176514</v>
      </c>
      <c r="Q7" s="34">
        <f t="shared" ref="Q7" ca="1" si="89">Q6*B6</f>
        <v>20.830922752326838</v>
      </c>
      <c r="R7" s="34">
        <f t="shared" ref="R7" ca="1" si="90">R6*B6</f>
        <v>19.259480419275221</v>
      </c>
      <c r="S7" s="34">
        <f t="shared" ref="S7" ca="1" si="91">S6*B6</f>
        <v>20.035077036150732</v>
      </c>
      <c r="T7" s="34">
        <f t="shared" ref="T7" ca="1" si="92">T6*B6</f>
        <v>19.361931576343437</v>
      </c>
      <c r="U7" s="34">
        <f t="shared" ref="U7" ca="1" si="93">U6*B6</f>
        <v>17.126315557276492</v>
      </c>
      <c r="V7" s="34">
        <f t="shared" ref="V7" ca="1" si="94">V6*B6</f>
        <v>18.178705123164946</v>
      </c>
      <c r="W7" s="34">
        <f t="shared" ref="W7" ca="1" si="95">W6*B6</f>
        <v>17.523514543286435</v>
      </c>
      <c r="X7" s="34">
        <f t="shared" ref="X7" ca="1" si="96">X6*B6</f>
        <v>16.644562625404888</v>
      </c>
      <c r="Y7" s="34">
        <f t="shared" ref="Y7" ca="1" si="97">Y6*B6</f>
        <v>16.304825516886854</v>
      </c>
      <c r="Z7" s="34">
        <f t="shared" ref="Z7" ca="1" si="98">Z6*B6</f>
        <v>16.941779179718534</v>
      </c>
      <c r="AA7" s="34">
        <f t="shared" ref="AA7" ca="1" si="99">AA6*B6</f>
        <v>15.952403288665144</v>
      </c>
      <c r="AB7" s="34">
        <f t="shared" ref="AB7" ca="1" si="100">AB6*B6</f>
        <v>13.570146638444472</v>
      </c>
      <c r="AC7" s="31">
        <f ca="1">RAND()*0.01+0.088</f>
        <v>9.750338657307768E-2</v>
      </c>
      <c r="AD7" s="36"/>
      <c r="AE7" s="36"/>
    </row>
    <row r="8" spans="1:38" ht="24" customHeight="1" x14ac:dyDescent="0.15">
      <c r="A8" s="59">
        <v>43057</v>
      </c>
      <c r="B8" s="74">
        <f t="shared" ref="B8" ca="1" si="101">RANDBETWEEN(10,150)</f>
        <v>32</v>
      </c>
      <c r="C8" s="31">
        <f t="shared" ref="C8" ca="1" si="102">RAND()*0.2+0.6</f>
        <v>0.61364073055993129</v>
      </c>
      <c r="D8" s="31">
        <f t="shared" ref="D8:E8" ca="1" si="103">RAND()*0.1+0.5</f>
        <v>0.51163448700806913</v>
      </c>
      <c r="E8" s="31">
        <f t="shared" ca="1" si="103"/>
        <v>0.56332358600827004</v>
      </c>
      <c r="F8" s="31">
        <f t="shared" ref="F8" ca="1" si="104">RAND()*0.05+0.45</f>
        <v>0.45442848575470018</v>
      </c>
      <c r="G8" s="31">
        <f t="shared" ref="G8" ca="1" si="105">RAND()*0.05+0.4</f>
        <v>0.44285463641741096</v>
      </c>
      <c r="H8" s="31">
        <f t="shared" ref="H8" ca="1" si="106">RAND()*0.025+0.375</f>
        <v>0.38886769272491245</v>
      </c>
      <c r="I8" s="31">
        <f t="shared" ref="I8" ca="1" si="107">RAND()*0.02+0.35</f>
        <v>0.36056488317049246</v>
      </c>
      <c r="J8" s="31">
        <f t="shared" ref="J8" ca="1" si="108">RAND()*0.025+0.3</f>
        <v>0.3099744438960001</v>
      </c>
      <c r="K8" s="31">
        <f t="shared" ref="K8" ca="1" si="109">RAND()*0.01+0.29</f>
        <v>0.29195676548008143</v>
      </c>
      <c r="L8" s="31">
        <f t="shared" ref="L8" ca="1" si="110">RAND()*0.01+0.28</f>
        <v>0.28750084249740626</v>
      </c>
      <c r="M8" s="31">
        <f t="shared" ref="M8" ca="1" si="111">RAND()*0.01+0.22</f>
        <v>0.22146654914592945</v>
      </c>
      <c r="N8" s="31">
        <f t="shared" ref="N8" ca="1" si="112">RAND()*0.02+0.2</f>
        <v>0.20276684279139381</v>
      </c>
      <c r="O8" s="31">
        <f t="shared" ref="O8" ca="1" si="113">RAND()*0.01+0.18</f>
        <v>0.18348634388592808</v>
      </c>
      <c r="P8" s="31">
        <f t="shared" ref="P8" ca="1" si="114">RAND()*0.01+0.15</f>
        <v>0.15216529791495573</v>
      </c>
      <c r="Q8" s="31">
        <f t="shared" ref="Q8" ca="1" si="115">RAND()*0.01+0.14</f>
        <v>0.14479047825850339</v>
      </c>
      <c r="R8" s="31">
        <f t="shared" ref="R8:T8" ca="1" si="116">RAND()*0.01+0.135</f>
        <v>0.13510221688563653</v>
      </c>
      <c r="S8" s="31">
        <f t="shared" ca="1" si="116"/>
        <v>0.13915844555752424</v>
      </c>
      <c r="T8" s="31">
        <f t="shared" ca="1" si="116"/>
        <v>0.14442835534370377</v>
      </c>
      <c r="U8" s="31">
        <f t="shared" ref="U8:V8" ca="1" si="117">RAND()*0.01+0.12</f>
        <v>0.12621168098104291</v>
      </c>
      <c r="V8" s="31">
        <f t="shared" ca="1" si="117"/>
        <v>0.12238998407625959</v>
      </c>
      <c r="W8" s="31">
        <f t="shared" ref="W8" ca="1" si="118">RAND()*0.01+0.118</f>
        <v>0.12079336959184996</v>
      </c>
      <c r="X8" s="31">
        <f t="shared" ref="X8" ca="1" si="119">RAND()*0.01+0.115</f>
        <v>0.11947875532387989</v>
      </c>
      <c r="Y8" s="31">
        <f t="shared" ref="Y8" ca="1" si="120">RAND()*0.01+0.114</f>
        <v>0.11754849313497792</v>
      </c>
      <c r="Z8" s="31">
        <f t="shared" ref="Z8" ca="1" si="121">RAND()*0.01+0.112</f>
        <v>0.11913748755908039</v>
      </c>
      <c r="AA8" s="31">
        <f t="shared" ref="AA8" ca="1" si="122">RAND()*0.01+0.111</f>
        <v>0.11137681274096697</v>
      </c>
      <c r="AB8" s="31">
        <f t="shared" ref="AB8" ca="1" si="123">RAND()*0.01+0.09</f>
        <v>9.5609992496359361E-2</v>
      </c>
      <c r="AC8" s="36"/>
      <c r="AD8" s="36"/>
      <c r="AE8" s="36"/>
    </row>
    <row r="9" spans="1:38" ht="24" customHeight="1" x14ac:dyDescent="0.15">
      <c r="A9" s="60"/>
      <c r="B9" s="74"/>
      <c r="C9" s="32">
        <f t="shared" ref="C9" ca="1" si="124">C8*B8</f>
        <v>19.636503377917801</v>
      </c>
      <c r="D9" s="32">
        <f t="shared" ref="D9" ca="1" si="125">D8*B8</f>
        <v>16.372303584258212</v>
      </c>
      <c r="E9" s="32">
        <f t="shared" ref="E9" ca="1" si="126">E8*B8</f>
        <v>18.026354752264641</v>
      </c>
      <c r="F9" s="32">
        <f t="shared" ref="F9" ca="1" si="127">F8*B8</f>
        <v>14.541711544150406</v>
      </c>
      <c r="G9" s="32">
        <f t="shared" ref="G9" ca="1" si="128">G8*B8</f>
        <v>14.171348365357151</v>
      </c>
      <c r="H9" s="32">
        <f t="shared" ref="H9" ca="1" si="129">H8*B8</f>
        <v>12.443766167197198</v>
      </c>
      <c r="I9" s="33">
        <f t="shared" ref="I9" ca="1" si="130">I8*B8</f>
        <v>11.538076261455759</v>
      </c>
      <c r="J9" s="33">
        <f t="shared" ref="J9" ca="1" si="131">J8*B8</f>
        <v>9.9191822046720031</v>
      </c>
      <c r="K9" s="34">
        <f t="shared" ref="K9" ca="1" si="132">K8*B8</f>
        <v>9.3426164953626056</v>
      </c>
      <c r="L9" s="34">
        <f t="shared" ref="L9" ca="1" si="133">L8*B8</f>
        <v>9.2000269599170004</v>
      </c>
      <c r="M9" s="34">
        <f t="shared" ref="M9" ca="1" si="134">M8*B8</f>
        <v>7.0869295726697423</v>
      </c>
      <c r="N9" s="34">
        <f t="shared" ref="N9" ca="1" si="135">N8*B8</f>
        <v>6.4885389693246021</v>
      </c>
      <c r="O9" s="34">
        <f t="shared" ref="O9" ca="1" si="136">O8*B8</f>
        <v>5.8715630043496985</v>
      </c>
      <c r="P9" s="34">
        <f t="shared" ref="P9" ca="1" si="137">B8*P8</f>
        <v>4.8692895332785833</v>
      </c>
      <c r="Q9" s="34">
        <f t="shared" ref="Q9" ca="1" si="138">Q8*B8</f>
        <v>4.6332953042721083</v>
      </c>
      <c r="R9" s="34">
        <f t="shared" ref="R9" ca="1" si="139">R8*B8</f>
        <v>4.3232709403403691</v>
      </c>
      <c r="S9" s="34">
        <f t="shared" ref="S9" ca="1" si="140">S8*B8</f>
        <v>4.4530702578407757</v>
      </c>
      <c r="T9" s="34">
        <f t="shared" ref="T9" ca="1" si="141">T8*B8</f>
        <v>4.6217073709985206</v>
      </c>
      <c r="U9" s="34">
        <f t="shared" ref="U9" ca="1" si="142">U8*B8</f>
        <v>4.038773791393373</v>
      </c>
      <c r="V9" s="34">
        <f t="shared" ref="V9" ca="1" si="143">V8*B8</f>
        <v>3.9164794904403069</v>
      </c>
      <c r="W9" s="34">
        <f t="shared" ref="W9" ca="1" si="144">W8*B8</f>
        <v>3.8653878269391986</v>
      </c>
      <c r="X9" s="34">
        <f t="shared" ref="X9" ca="1" si="145">X8*B8</f>
        <v>3.8233201703641564</v>
      </c>
      <c r="Y9" s="34">
        <f t="shared" ref="Y9" ca="1" si="146">Y8*B8</f>
        <v>3.7615517803192935</v>
      </c>
      <c r="Z9" s="34">
        <f t="shared" ref="Z9" ca="1" si="147">Z8*B8</f>
        <v>3.8123996018905726</v>
      </c>
      <c r="AA9" s="34">
        <f t="shared" ref="AA9" ca="1" si="148">AA8*B8</f>
        <v>3.5640580077109432</v>
      </c>
      <c r="AB9" s="34">
        <f t="shared" ref="AB9" ca="1" si="149">AB8*B8</f>
        <v>3.0595197598834996</v>
      </c>
      <c r="AC9" s="36"/>
      <c r="AD9" s="36"/>
      <c r="AE9" s="36"/>
    </row>
    <row r="10" spans="1:38" ht="24" customHeight="1" x14ac:dyDescent="0.15">
      <c r="A10" s="59">
        <v>43058</v>
      </c>
      <c r="B10" s="74">
        <f t="shared" ref="B10" ca="1" si="150">RANDBETWEEN(10,150)</f>
        <v>37</v>
      </c>
      <c r="C10" s="31">
        <f t="shared" ref="C10" ca="1" si="151">RAND()*0.2+0.6</f>
        <v>0.65541296092946089</v>
      </c>
      <c r="D10" s="31">
        <f t="shared" ref="D10:E10" ca="1" si="152">RAND()*0.1+0.5</f>
        <v>0.55117122532997564</v>
      </c>
      <c r="E10" s="31">
        <f t="shared" ca="1" si="152"/>
        <v>0.5932205012279802</v>
      </c>
      <c r="F10" s="31">
        <f t="shared" ref="F10" ca="1" si="153">RAND()*0.05+0.45</f>
        <v>0.46464075851765879</v>
      </c>
      <c r="G10" s="31">
        <f t="shared" ref="G10" ca="1" si="154">RAND()*0.05+0.4</f>
        <v>0.42875562287384394</v>
      </c>
      <c r="H10" s="31">
        <f t="shared" ref="H10" ca="1" si="155">RAND()*0.025+0.375</f>
        <v>0.3859982638817851</v>
      </c>
      <c r="I10" s="31">
        <f t="shared" ref="I10" ca="1" si="156">RAND()*0.02+0.35</f>
        <v>0.3612967366469006</v>
      </c>
      <c r="J10" s="31">
        <f t="shared" ref="J10" ca="1" si="157">RAND()*0.025+0.3</f>
        <v>0.31176750116708501</v>
      </c>
      <c r="K10" s="31">
        <f t="shared" ref="K10" ca="1" si="158">RAND()*0.01+0.29</f>
        <v>0.29084495085332368</v>
      </c>
      <c r="L10" s="31">
        <f t="shared" ref="L10" ca="1" si="159">RAND()*0.01+0.28</f>
        <v>0.28996815596617004</v>
      </c>
      <c r="M10" s="31">
        <f t="shared" ref="M10" ca="1" si="160">RAND()*0.01+0.22</f>
        <v>0.22335876671699537</v>
      </c>
      <c r="N10" s="31">
        <f t="shared" ref="N10" ca="1" si="161">RAND()*0.02+0.2</f>
        <v>0.20434886937309873</v>
      </c>
      <c r="O10" s="31">
        <f t="shared" ref="O10" ca="1" si="162">RAND()*0.01+0.18</f>
        <v>0.18184905165255655</v>
      </c>
      <c r="P10" s="31">
        <f t="shared" ref="P10" ca="1" si="163">RAND()*0.01+0.15</f>
        <v>0.15151667534745275</v>
      </c>
      <c r="Q10" s="31">
        <f t="shared" ref="Q10" ca="1" si="164">RAND()*0.01+0.14</f>
        <v>0.14432822576094878</v>
      </c>
      <c r="R10" s="31">
        <f t="shared" ref="R10:T10" ca="1" si="165">RAND()*0.01+0.135</f>
        <v>0.14210553335937817</v>
      </c>
      <c r="S10" s="31">
        <f t="shared" ca="1" si="165"/>
        <v>0.13621876025826635</v>
      </c>
      <c r="T10" s="31">
        <f t="shared" ca="1" si="165"/>
        <v>0.14258855820528654</v>
      </c>
      <c r="U10" s="31">
        <f t="shared" ref="U10:V10" ca="1" si="166">RAND()*0.01+0.12</f>
        <v>0.12558622229366673</v>
      </c>
      <c r="V10" s="31">
        <f t="shared" ca="1" si="166"/>
        <v>0.12124272565592359</v>
      </c>
      <c r="W10" s="31">
        <f t="shared" ref="W10" ca="1" si="167">RAND()*0.01+0.118</f>
        <v>0.12438826599539038</v>
      </c>
      <c r="X10" s="31">
        <f t="shared" ref="X10" ca="1" si="168">RAND()*0.01+0.115</f>
        <v>0.12289870342937283</v>
      </c>
      <c r="Y10" s="31">
        <f t="shared" ref="Y10" ca="1" si="169">RAND()*0.01+0.114</f>
        <v>0.11958719862384261</v>
      </c>
      <c r="Z10" s="31">
        <f t="shared" ref="Z10" ca="1" si="170">RAND()*0.01+0.112</f>
        <v>0.11492282169776794</v>
      </c>
      <c r="AA10" s="31">
        <f t="shared" ref="AA10" ca="1" si="171">RAND()*0.01+0.111</f>
        <v>0.11738044078223402</v>
      </c>
      <c r="AB10" s="36"/>
      <c r="AC10" s="36"/>
      <c r="AD10" s="36"/>
      <c r="AE10" s="36"/>
    </row>
    <row r="11" spans="1:38" ht="24" customHeight="1" x14ac:dyDescent="0.15">
      <c r="A11" s="60"/>
      <c r="B11" s="74"/>
      <c r="C11" s="32">
        <f t="shared" ref="C11" ca="1" si="172">C10*B10</f>
        <v>24.250279554390051</v>
      </c>
      <c r="D11" s="32">
        <f t="shared" ref="D11" ca="1" si="173">D10*B10</f>
        <v>20.393335337209098</v>
      </c>
      <c r="E11" s="32">
        <f t="shared" ref="E11" ca="1" si="174">E10*B10</f>
        <v>21.949158545435267</v>
      </c>
      <c r="F11" s="32">
        <f t="shared" ref="F11" ca="1" si="175">F10*B10</f>
        <v>17.191708065153374</v>
      </c>
      <c r="G11" s="32">
        <f t="shared" ref="G11" ca="1" si="176">G10*B10</f>
        <v>15.863958046332225</v>
      </c>
      <c r="H11" s="32">
        <f t="shared" ref="H11" ca="1" si="177">H10*B10</f>
        <v>14.281935763626048</v>
      </c>
      <c r="I11" s="33">
        <f t="shared" ref="I11" ca="1" si="178">I10*B10</f>
        <v>13.367979255935323</v>
      </c>
      <c r="J11" s="33">
        <f t="shared" ref="J11" ca="1" si="179">J10*B10</f>
        <v>11.535397543182146</v>
      </c>
      <c r="K11" s="34">
        <f t="shared" ref="K11" ca="1" si="180">K10*B10</f>
        <v>10.761263181572977</v>
      </c>
      <c r="L11" s="34">
        <f t="shared" ref="L11" ca="1" si="181">L10*B10</f>
        <v>10.728821770748292</v>
      </c>
      <c r="M11" s="34">
        <f t="shared" ref="M11" ca="1" si="182">M10*B10</f>
        <v>8.2642743685288291</v>
      </c>
      <c r="N11" s="34">
        <f t="shared" ref="N11" ca="1" si="183">N10*B10</f>
        <v>7.5609081668046532</v>
      </c>
      <c r="O11" s="34">
        <f t="shared" ref="O11" ca="1" si="184">O10*B10</f>
        <v>6.7284149111445926</v>
      </c>
      <c r="P11" s="34">
        <f t="shared" ref="P11" ca="1" si="185">B10*P10</f>
        <v>5.606116987855752</v>
      </c>
      <c r="Q11" s="34">
        <f t="shared" ref="Q11" ca="1" si="186">Q10*B10</f>
        <v>5.3401443531551047</v>
      </c>
      <c r="R11" s="34">
        <f t="shared" ref="R11" ca="1" si="187">R10*B10</f>
        <v>5.257904734296992</v>
      </c>
      <c r="S11" s="34">
        <f t="shared" ref="S11" ca="1" si="188">S10*B10</f>
        <v>5.0400941295558548</v>
      </c>
      <c r="T11" s="34">
        <f t="shared" ref="T11" ca="1" si="189">T10*B10</f>
        <v>5.2757766535956021</v>
      </c>
      <c r="U11" s="34">
        <f t="shared" ref="U11" ca="1" si="190">U10*B10</f>
        <v>4.6466902248656687</v>
      </c>
      <c r="V11" s="34">
        <f t="shared" ref="V11" ca="1" si="191">V10*B10</f>
        <v>4.4859808492691728</v>
      </c>
      <c r="W11" s="34">
        <f t="shared" ref="W11" ca="1" si="192">W10*B10</f>
        <v>4.6023658418294442</v>
      </c>
      <c r="X11" s="34">
        <f t="shared" ref="X11" ca="1" si="193">X10*B10</f>
        <v>4.5472520268867944</v>
      </c>
      <c r="Y11" s="34">
        <f t="shared" ref="Y11" ca="1" si="194">Y10*B10</f>
        <v>4.4247263490821762</v>
      </c>
      <c r="Z11" s="34">
        <f t="shared" ref="Z11" ca="1" si="195">Z10*B10</f>
        <v>4.2521444028174136</v>
      </c>
      <c r="AA11" s="34">
        <f t="shared" ref="AA11" ca="1" si="196">AA10*B10</f>
        <v>4.3430763089426589</v>
      </c>
      <c r="AB11" s="36"/>
      <c r="AC11" s="36"/>
      <c r="AD11" s="36"/>
      <c r="AE11" s="36"/>
    </row>
    <row r="12" spans="1:38" ht="24" customHeight="1" x14ac:dyDescent="0.15">
      <c r="A12" s="59">
        <v>43059</v>
      </c>
      <c r="B12" s="74">
        <f t="shared" ref="B12" ca="1" si="197">RANDBETWEEN(10,150)</f>
        <v>17</v>
      </c>
      <c r="C12" s="31">
        <f t="shared" ref="C12" ca="1" si="198">RAND()*0.2+0.6</f>
        <v>0.73362193861991609</v>
      </c>
      <c r="D12" s="31">
        <f t="shared" ref="D12:E12" ca="1" si="199">RAND()*0.1+0.5</f>
        <v>0.55789969431534014</v>
      </c>
      <c r="E12" s="31">
        <f t="shared" ca="1" si="199"/>
        <v>0.57787942897881517</v>
      </c>
      <c r="F12" s="31">
        <f t="shared" ref="F12" ca="1" si="200">RAND()*0.05+0.45</f>
        <v>0.46507290583491234</v>
      </c>
      <c r="G12" s="31">
        <f t="shared" ref="G12" ca="1" si="201">RAND()*0.05+0.4</f>
        <v>0.44008031336302589</v>
      </c>
      <c r="H12" s="31">
        <f t="shared" ref="H12" ca="1" si="202">RAND()*0.025+0.375</f>
        <v>0.38968289412103596</v>
      </c>
      <c r="I12" s="31">
        <f t="shared" ref="I12" ca="1" si="203">RAND()*0.02+0.35</f>
        <v>0.36019034825672236</v>
      </c>
      <c r="J12" s="31">
        <f t="shared" ref="J12" ca="1" si="204">RAND()*0.025+0.3</f>
        <v>0.32416831283952785</v>
      </c>
      <c r="K12" s="31">
        <f t="shared" ref="K12" ca="1" si="205">RAND()*0.01+0.29</f>
        <v>0.29324162843626728</v>
      </c>
      <c r="L12" s="31">
        <f t="shared" ref="L12" ca="1" si="206">RAND()*0.01+0.28</f>
        <v>0.28473205718025246</v>
      </c>
      <c r="M12" s="31">
        <f t="shared" ref="M12" ca="1" si="207">RAND()*0.01+0.22</f>
        <v>0.22377411460667121</v>
      </c>
      <c r="N12" s="31">
        <f t="shared" ref="N12" ca="1" si="208">RAND()*0.02+0.2</f>
        <v>0.20129413377534755</v>
      </c>
      <c r="O12" s="31">
        <f t="shared" ref="O12" ca="1" si="209">RAND()*0.01+0.18</f>
        <v>0.18833851086401085</v>
      </c>
      <c r="P12" s="31">
        <f t="shared" ref="P12" ca="1" si="210">RAND()*0.01+0.15</f>
        <v>0.15118277585533874</v>
      </c>
      <c r="Q12" s="31">
        <f t="shared" ref="Q12" ca="1" si="211">RAND()*0.01+0.14</f>
        <v>0.14742383767003514</v>
      </c>
      <c r="R12" s="31">
        <f t="shared" ref="R12:T12" ca="1" si="212">RAND()*0.01+0.135</f>
        <v>0.13870379647114062</v>
      </c>
      <c r="S12" s="31">
        <f t="shared" ca="1" si="212"/>
        <v>0.14320905109597568</v>
      </c>
      <c r="T12" s="31">
        <f t="shared" ca="1" si="212"/>
        <v>0.14025171099209524</v>
      </c>
      <c r="U12" s="31">
        <f t="shared" ref="U12:V12" ca="1" si="213">RAND()*0.01+0.12</f>
        <v>0.12920988243909878</v>
      </c>
      <c r="V12" s="31">
        <f t="shared" ca="1" si="213"/>
        <v>0.12748751864766386</v>
      </c>
      <c r="W12" s="31">
        <f t="shared" ref="W12" ca="1" si="214">RAND()*0.01+0.118</f>
        <v>0.12371417945333059</v>
      </c>
      <c r="X12" s="31">
        <f t="shared" ref="X12" ca="1" si="215">RAND()*0.01+0.115</f>
        <v>0.12424207828437531</v>
      </c>
      <c r="Y12" s="31">
        <f t="shared" ref="Y12" ca="1" si="216">RAND()*0.01+0.114</f>
        <v>0.11472202268765094</v>
      </c>
      <c r="Z12" s="31">
        <f t="shared" ref="Z12" ca="1" si="217">RAND()*0.01+0.112</f>
        <v>0.11233079872027191</v>
      </c>
      <c r="AA12" s="36"/>
      <c r="AB12" s="36"/>
      <c r="AC12" s="36"/>
      <c r="AD12" s="36"/>
      <c r="AE12" s="36"/>
    </row>
    <row r="13" spans="1:38" ht="24" customHeight="1" x14ac:dyDescent="0.15">
      <c r="A13" s="60"/>
      <c r="B13" s="74"/>
      <c r="C13" s="32">
        <f t="shared" ref="C13" ca="1" si="218">C12*B12</f>
        <v>12.471572956538573</v>
      </c>
      <c r="D13" s="32">
        <f t="shared" ref="D13" ca="1" si="219">D12*B12</f>
        <v>9.4842948033607826</v>
      </c>
      <c r="E13" s="32">
        <f t="shared" ref="E13" ca="1" si="220">E12*B12</f>
        <v>9.8239502926398572</v>
      </c>
      <c r="F13" s="32">
        <f t="shared" ref="F13" ca="1" si="221">F12*B12</f>
        <v>7.9062393991935096</v>
      </c>
      <c r="G13" s="32">
        <f t="shared" ref="G13" ca="1" si="222">G12*B12</f>
        <v>7.4813653271714404</v>
      </c>
      <c r="H13" s="32">
        <f t="shared" ref="H13" ca="1" si="223">H12*B12</f>
        <v>6.6246092000576109</v>
      </c>
      <c r="I13" s="33">
        <f t="shared" ref="I13" ca="1" si="224">I12*B12</f>
        <v>6.1232359203642801</v>
      </c>
      <c r="J13" s="33">
        <f t="shared" ref="J13" ca="1" si="225">J12*B12</f>
        <v>5.5108613182719735</v>
      </c>
      <c r="K13" s="34">
        <f t="shared" ref="K13" ca="1" si="226">K12*B12</f>
        <v>4.985107683416544</v>
      </c>
      <c r="L13" s="34">
        <f t="shared" ref="L13" ca="1" si="227">L12*B12</f>
        <v>4.8404449720642919</v>
      </c>
      <c r="M13" s="34">
        <f t="shared" ref="M13" ca="1" si="228">M12*B12</f>
        <v>3.8041599483134108</v>
      </c>
      <c r="N13" s="34">
        <f t="shared" ref="N13" ca="1" si="229">N12*B12</f>
        <v>3.4220002741809084</v>
      </c>
      <c r="O13" s="34">
        <f t="shared" ref="O13" ca="1" si="230">O12*B12</f>
        <v>3.2017546846881846</v>
      </c>
      <c r="P13" s="34">
        <f t="shared" ref="P13" ca="1" si="231">B12*P12</f>
        <v>2.5701071895407583</v>
      </c>
      <c r="Q13" s="34">
        <f t="shared" ref="Q13" ca="1" si="232">Q12*B12</f>
        <v>2.5062052403905972</v>
      </c>
      <c r="R13" s="34">
        <f t="shared" ref="R13" ca="1" si="233">R12*B12</f>
        <v>2.3579645400093905</v>
      </c>
      <c r="S13" s="34">
        <f t="shared" ref="S13" ca="1" si="234">S12*B12</f>
        <v>2.4345538686315864</v>
      </c>
      <c r="T13" s="34">
        <f t="shared" ref="T13" ca="1" si="235">T12*B12</f>
        <v>2.384279086865619</v>
      </c>
      <c r="U13" s="34">
        <f t="shared" ref="U13" ca="1" si="236">U12*B12</f>
        <v>2.1965680014646791</v>
      </c>
      <c r="V13" s="34">
        <f t="shared" ref="V13" ca="1" si="237">V12*B12</f>
        <v>2.1672878170102856</v>
      </c>
      <c r="W13" s="34">
        <f t="shared" ref="W13" ca="1" si="238">W12*B12</f>
        <v>2.1031410507066202</v>
      </c>
      <c r="X13" s="34">
        <f t="shared" ref="X13" ca="1" si="239">X12*B12</f>
        <v>2.1121153308343801</v>
      </c>
      <c r="Y13" s="34">
        <f t="shared" ref="Y13" ca="1" si="240">Y12*B12</f>
        <v>1.9502743856900659</v>
      </c>
      <c r="Z13" s="34">
        <f t="shared" ref="Z13" ca="1" si="241">Z12*B12</f>
        <v>1.9096235782446225</v>
      </c>
      <c r="AA13" s="36"/>
      <c r="AB13" s="36"/>
      <c r="AC13" s="36"/>
      <c r="AD13" s="36"/>
      <c r="AE13" s="36"/>
    </row>
    <row r="14" spans="1:38" ht="24" customHeight="1" x14ac:dyDescent="0.15">
      <c r="A14" s="59">
        <v>43060</v>
      </c>
      <c r="B14" s="74">
        <f t="shared" ref="B14" ca="1" si="242">RANDBETWEEN(10,150)</f>
        <v>129</v>
      </c>
      <c r="C14" s="31">
        <f t="shared" ref="C14" ca="1" si="243">RAND()*0.2+0.6</f>
        <v>0.61577572594870778</v>
      </c>
      <c r="D14" s="31">
        <f t="shared" ref="D14:E14" ca="1" si="244">RAND()*0.1+0.5</f>
        <v>0.53527036945873741</v>
      </c>
      <c r="E14" s="31">
        <f t="shared" ca="1" si="244"/>
        <v>0.59342070210474085</v>
      </c>
      <c r="F14" s="31">
        <f t="shared" ref="F14" ca="1" si="245">RAND()*0.05+0.45</f>
        <v>0.49947998546403227</v>
      </c>
      <c r="G14" s="31">
        <f t="shared" ref="G14" ca="1" si="246">RAND()*0.05+0.4</f>
        <v>0.43650583289015621</v>
      </c>
      <c r="H14" s="31">
        <f t="shared" ref="H14" ca="1" si="247">RAND()*0.025+0.375</f>
        <v>0.39300054714763422</v>
      </c>
      <c r="I14" s="31">
        <f t="shared" ref="I14" ca="1" si="248">RAND()*0.02+0.35</f>
        <v>0.35246930869401544</v>
      </c>
      <c r="J14" s="31">
        <f t="shared" ref="J14" ca="1" si="249">RAND()*0.025+0.3</f>
        <v>0.31274417913867458</v>
      </c>
      <c r="K14" s="31">
        <f t="shared" ref="K14" ca="1" si="250">RAND()*0.01+0.29</f>
        <v>0.29421410677984061</v>
      </c>
      <c r="L14" s="31">
        <f t="shared" ref="L14" ca="1" si="251">RAND()*0.01+0.28</f>
        <v>0.28344370308414818</v>
      </c>
      <c r="M14" s="31">
        <f t="shared" ref="M14" ca="1" si="252">RAND()*0.01+0.22</f>
        <v>0.22211369296737379</v>
      </c>
      <c r="N14" s="31">
        <f t="shared" ref="N14" ca="1" si="253">RAND()*0.02+0.2</f>
        <v>0.20173651116536373</v>
      </c>
      <c r="O14" s="31">
        <f t="shared" ref="O14" ca="1" si="254">RAND()*0.01+0.18</f>
        <v>0.18996981319155928</v>
      </c>
      <c r="P14" s="31">
        <f t="shared" ref="P14" ca="1" si="255">RAND()*0.01+0.15</f>
        <v>0.1527881291343598</v>
      </c>
      <c r="Q14" s="31">
        <f t="shared" ref="Q14" ca="1" si="256">RAND()*0.01+0.14</f>
        <v>0.1442675962965945</v>
      </c>
      <c r="R14" s="31">
        <f t="shared" ref="R14:T14" ca="1" si="257">RAND()*0.01+0.135</f>
        <v>0.13767780913805114</v>
      </c>
      <c r="S14" s="31">
        <f t="shared" ca="1" si="257"/>
        <v>0.13596784979934742</v>
      </c>
      <c r="T14" s="31">
        <f t="shared" ca="1" si="257"/>
        <v>0.14429114041015623</v>
      </c>
      <c r="U14" s="31">
        <f t="shared" ref="U14:V14" ca="1" si="258">RAND()*0.01+0.12</f>
        <v>0.12626273282839143</v>
      </c>
      <c r="V14" s="31">
        <f t="shared" ca="1" si="258"/>
        <v>0.12404920632221419</v>
      </c>
      <c r="W14" s="31">
        <f t="shared" ref="W14" ca="1" si="259">RAND()*0.01+0.118</f>
        <v>0.12784344702710515</v>
      </c>
      <c r="X14" s="31">
        <f t="shared" ref="X14" ca="1" si="260">RAND()*0.01+0.115</f>
        <v>0.11785765954028581</v>
      </c>
      <c r="Y14" s="31">
        <f t="shared" ref="Y14" ca="1" si="261">RAND()*0.01+0.114</f>
        <v>0.11905149543126006</v>
      </c>
      <c r="Z14" s="36"/>
      <c r="AA14" s="36"/>
      <c r="AB14" s="36"/>
      <c r="AC14" s="36"/>
      <c r="AD14" s="36"/>
      <c r="AE14" s="36"/>
    </row>
    <row r="15" spans="1:38" ht="24" customHeight="1" x14ac:dyDescent="0.15">
      <c r="A15" s="60"/>
      <c r="B15" s="74"/>
      <c r="C15" s="32">
        <f t="shared" ref="C15" ca="1" si="262">C14*B14</f>
        <v>79.435068647383304</v>
      </c>
      <c r="D15" s="32">
        <f t="shared" ref="D15" ca="1" si="263">D14*B14</f>
        <v>69.049877660177131</v>
      </c>
      <c r="E15" s="32">
        <f t="shared" ref="E15" ca="1" si="264">E14*B14</f>
        <v>76.551270571511566</v>
      </c>
      <c r="F15" s="32">
        <f t="shared" ref="F15" ca="1" si="265">F14*B14</f>
        <v>64.432918124860166</v>
      </c>
      <c r="G15" s="32">
        <f t="shared" ref="G15" ca="1" si="266">G14*B14</f>
        <v>56.30925244283015</v>
      </c>
      <c r="H15" s="32">
        <f t="shared" ref="H15" ca="1" si="267">H14*B14</f>
        <v>50.697070582044816</v>
      </c>
      <c r="I15" s="33">
        <f t="shared" ref="I15" ca="1" si="268">I14*B14</f>
        <v>45.468540821527995</v>
      </c>
      <c r="J15" s="33">
        <f t="shared" ref="J15" ca="1" si="269">J14*B14</f>
        <v>40.343999108889022</v>
      </c>
      <c r="K15" s="34">
        <f t="shared" ref="K15" ca="1" si="270">K14*B14</f>
        <v>37.953619774599439</v>
      </c>
      <c r="L15" s="34">
        <f t="shared" ref="L15" ca="1" si="271">L14*B14</f>
        <v>36.564237697855113</v>
      </c>
      <c r="M15" s="34">
        <f t="shared" ref="M15" ca="1" si="272">M14*B14</f>
        <v>28.652666392791218</v>
      </c>
      <c r="N15" s="34">
        <f t="shared" ref="N15" ca="1" si="273">N14*B14</f>
        <v>26.024009940331922</v>
      </c>
      <c r="O15" s="34">
        <f t="shared" ref="O15" ca="1" si="274">O14*B14</f>
        <v>24.506105901711148</v>
      </c>
      <c r="P15" s="34">
        <f t="shared" ref="P15" ca="1" si="275">B14*P14</f>
        <v>19.709668658332415</v>
      </c>
      <c r="Q15" s="34">
        <f t="shared" ref="Q15" ca="1" si="276">Q14*B14</f>
        <v>18.610519922260689</v>
      </c>
      <c r="R15" s="34">
        <f t="shared" ref="R15" ca="1" si="277">R14*B14</f>
        <v>17.760437378808597</v>
      </c>
      <c r="S15" s="34">
        <f t="shared" ref="S15" ca="1" si="278">S14*B14</f>
        <v>17.539852624115817</v>
      </c>
      <c r="T15" s="34">
        <f t="shared" ref="T15" ca="1" si="279">T14*B14</f>
        <v>18.613557112910154</v>
      </c>
      <c r="U15" s="34">
        <f t="shared" ref="U15" ca="1" si="280">U14*B14</f>
        <v>16.287892534862493</v>
      </c>
      <c r="V15" s="34">
        <f t="shared" ref="V15" ca="1" si="281">V14*B14</f>
        <v>16.002347615565633</v>
      </c>
      <c r="W15" s="34">
        <f t="shared" ref="W15" ca="1" si="282">W14*B14</f>
        <v>16.491804666496563</v>
      </c>
      <c r="X15" s="34">
        <f t="shared" ref="X15" ca="1" si="283">X14*B14</f>
        <v>15.203638080696869</v>
      </c>
      <c r="Y15" s="34">
        <f t="shared" ref="Y15" ca="1" si="284">Y14*B14</f>
        <v>15.357642910632547</v>
      </c>
      <c r="Z15" s="36"/>
      <c r="AA15" s="36"/>
      <c r="AB15" s="36"/>
      <c r="AC15" s="36"/>
      <c r="AD15" s="36"/>
      <c r="AE15" s="36"/>
    </row>
    <row r="16" spans="1:38" ht="24" customHeight="1" x14ac:dyDescent="0.15">
      <c r="A16" s="59">
        <v>43061</v>
      </c>
      <c r="B16" s="74">
        <f t="shared" ref="B16" ca="1" si="285">RANDBETWEEN(10,150)</f>
        <v>88</v>
      </c>
      <c r="C16" s="31">
        <f t="shared" ref="C16" ca="1" si="286">RAND()*0.2+0.6</f>
        <v>0.73132446473308022</v>
      </c>
      <c r="D16" s="31">
        <f t="shared" ref="D16:E16" ca="1" si="287">RAND()*0.1+0.5</f>
        <v>0.56599082678736179</v>
      </c>
      <c r="E16" s="31">
        <f t="shared" ca="1" si="287"/>
        <v>0.56487972030874234</v>
      </c>
      <c r="F16" s="31">
        <f t="shared" ref="F16" ca="1" si="288">RAND()*0.05+0.45</f>
        <v>0.46155352040270708</v>
      </c>
      <c r="G16" s="31">
        <f t="shared" ref="G16" ca="1" si="289">RAND()*0.05+0.4</f>
        <v>0.41213351419640731</v>
      </c>
      <c r="H16" s="31">
        <f t="shared" ref="H16" ca="1" si="290">RAND()*0.025+0.375</f>
        <v>0.38484526858668544</v>
      </c>
      <c r="I16" s="31">
        <f t="shared" ref="I16" ca="1" si="291">RAND()*0.02+0.35</f>
        <v>0.36764487860987627</v>
      </c>
      <c r="J16" s="31">
        <f t="shared" ref="J16" ca="1" si="292">RAND()*0.025+0.3</f>
        <v>0.30718803007018208</v>
      </c>
      <c r="K16" s="31">
        <f t="shared" ref="K16" ca="1" si="293">RAND()*0.01+0.29</f>
        <v>0.29599459568687675</v>
      </c>
      <c r="L16" s="31">
        <f t="shared" ref="L16" ca="1" si="294">RAND()*0.01+0.28</f>
        <v>0.28820288325192261</v>
      </c>
      <c r="M16" s="31">
        <f t="shared" ref="M16" ca="1" si="295">RAND()*0.01+0.22</f>
        <v>0.22842666315652288</v>
      </c>
      <c r="N16" s="31">
        <f t="shared" ref="N16" ca="1" si="296">RAND()*0.02+0.2</f>
        <v>0.20831236777794601</v>
      </c>
      <c r="O16" s="31">
        <f t="shared" ref="O16" ca="1" si="297">RAND()*0.01+0.18</f>
        <v>0.18774298436857981</v>
      </c>
      <c r="P16" s="31">
        <f t="shared" ref="P16" ca="1" si="298">RAND()*0.01+0.15</f>
        <v>0.15648763481160419</v>
      </c>
      <c r="Q16" s="31">
        <f t="shared" ref="Q16" ca="1" si="299">RAND()*0.01+0.14</f>
        <v>0.14904214045572009</v>
      </c>
      <c r="R16" s="31">
        <f t="shared" ref="R16:T16" ca="1" si="300">RAND()*0.01+0.135</f>
        <v>0.13852030893537223</v>
      </c>
      <c r="S16" s="31">
        <f t="shared" ca="1" si="300"/>
        <v>0.13941800511888996</v>
      </c>
      <c r="T16" s="31">
        <f t="shared" ca="1" si="300"/>
        <v>0.14263910715890088</v>
      </c>
      <c r="U16" s="31">
        <f t="shared" ref="U16:V16" ca="1" si="301">RAND()*0.01+0.12</f>
        <v>0.12641151077586413</v>
      </c>
      <c r="V16" s="31">
        <f t="shared" ca="1" si="301"/>
        <v>0.12973704124044669</v>
      </c>
      <c r="W16" s="31">
        <f t="shared" ref="W16" ca="1" si="302">RAND()*0.01+0.118</f>
        <v>0.1252339907397898</v>
      </c>
      <c r="X16" s="31">
        <f t="shared" ref="X16" ca="1" si="303">RAND()*0.01+0.115</f>
        <v>0.11970353842432679</v>
      </c>
      <c r="Y16" s="36"/>
      <c r="Z16" s="36"/>
      <c r="AA16" s="36"/>
      <c r="AB16" s="36"/>
      <c r="AC16" s="36"/>
      <c r="AD16" s="36"/>
      <c r="AE16" s="36"/>
    </row>
    <row r="17" spans="1:31" ht="24" customHeight="1" x14ac:dyDescent="0.15">
      <c r="A17" s="60"/>
      <c r="B17" s="74"/>
      <c r="C17" s="32">
        <f t="shared" ref="C17" ca="1" si="304">C16*B16</f>
        <v>64.356552896511062</v>
      </c>
      <c r="D17" s="32">
        <f t="shared" ref="D17" ca="1" si="305">D16*B16</f>
        <v>49.807192757287837</v>
      </c>
      <c r="E17" s="32">
        <f t="shared" ref="E17" ca="1" si="306">E16*B16</f>
        <v>49.709415387169329</v>
      </c>
      <c r="F17" s="32">
        <f t="shared" ref="F17" ca="1" si="307">F16*B16</f>
        <v>40.616709795438226</v>
      </c>
      <c r="G17" s="32">
        <f t="shared" ref="G17" ca="1" si="308">G16*B16</f>
        <v>36.267749249283845</v>
      </c>
      <c r="H17" s="32">
        <f t="shared" ref="H17" ca="1" si="309">H16*B16</f>
        <v>33.866383635628317</v>
      </c>
      <c r="I17" s="33">
        <f t="shared" ref="I17" ca="1" si="310">I16*B16</f>
        <v>32.352749317669108</v>
      </c>
      <c r="J17" s="33">
        <f t="shared" ref="J17" ca="1" si="311">J16*B16</f>
        <v>27.032546646176023</v>
      </c>
      <c r="K17" s="34">
        <f t="shared" ref="K17" ca="1" si="312">K16*B16</f>
        <v>26.047524420445153</v>
      </c>
      <c r="L17" s="34">
        <f t="shared" ref="L17" ca="1" si="313">L16*B16</f>
        <v>25.361853726169191</v>
      </c>
      <c r="M17" s="34">
        <f t="shared" ref="M17" ca="1" si="314">M16*B16</f>
        <v>20.101546357774012</v>
      </c>
      <c r="N17" s="34">
        <f t="shared" ref="N17" ca="1" si="315">N16*B16</f>
        <v>18.331488364459251</v>
      </c>
      <c r="O17" s="34">
        <f t="shared" ref="O17" ca="1" si="316">O16*B16</f>
        <v>16.521382624435024</v>
      </c>
      <c r="P17" s="34">
        <f t="shared" ref="P17" ca="1" si="317">B16*P16</f>
        <v>13.770911863421169</v>
      </c>
      <c r="Q17" s="34">
        <f t="shared" ref="Q17" ca="1" si="318">Q16*B16</f>
        <v>13.115708360103367</v>
      </c>
      <c r="R17" s="34">
        <f t="shared" ref="R17" ca="1" si="319">R16*B16</f>
        <v>12.189787186312756</v>
      </c>
      <c r="S17" s="34">
        <f t="shared" ref="S17" ca="1" si="320">S16*B16</f>
        <v>12.268784450462316</v>
      </c>
      <c r="T17" s="34">
        <f t="shared" ref="T17" ca="1" si="321">T16*B16</f>
        <v>12.552241429983278</v>
      </c>
      <c r="U17" s="34">
        <f t="shared" ref="U17" ca="1" si="322">U16*B16</f>
        <v>11.124212948276043</v>
      </c>
      <c r="V17" s="34">
        <f t="shared" ref="V17" ca="1" si="323">V16*B16</f>
        <v>11.416859629159308</v>
      </c>
      <c r="W17" s="34">
        <f t="shared" ref="W17" ca="1" si="324">W16*B16</f>
        <v>11.020591185101502</v>
      </c>
      <c r="X17" s="34">
        <f t="shared" ref="X17" ca="1" si="325">X16*B16</f>
        <v>10.533911381340758</v>
      </c>
      <c r="Y17" s="36"/>
      <c r="Z17" s="36"/>
      <c r="AA17" s="36"/>
      <c r="AB17" s="36"/>
      <c r="AC17" s="36"/>
      <c r="AD17" s="36"/>
      <c r="AE17" s="36"/>
    </row>
    <row r="18" spans="1:31" ht="24" customHeight="1" x14ac:dyDescent="0.15">
      <c r="A18" s="59">
        <v>43062</v>
      </c>
      <c r="B18" s="74">
        <f t="shared" ref="B18" ca="1" si="326">RANDBETWEEN(10,150)</f>
        <v>121</v>
      </c>
      <c r="C18" s="31">
        <f t="shared" ref="C18" ca="1" si="327">RAND()*0.2+0.6</f>
        <v>0.61131505994064006</v>
      </c>
      <c r="D18" s="31">
        <f t="shared" ref="D18:E18" ca="1" si="328">RAND()*0.1+0.5</f>
        <v>0.58724908182497459</v>
      </c>
      <c r="E18" s="31">
        <f t="shared" ca="1" si="328"/>
        <v>0.58926351256399934</v>
      </c>
      <c r="F18" s="31">
        <f t="shared" ref="F18" ca="1" si="329">RAND()*0.05+0.45</f>
        <v>0.48478723110096439</v>
      </c>
      <c r="G18" s="31">
        <f t="shared" ref="G18" ca="1" si="330">RAND()*0.05+0.4</f>
        <v>0.40025947691433816</v>
      </c>
      <c r="H18" s="31">
        <f t="shared" ref="H18" ca="1" si="331">RAND()*0.025+0.375</f>
        <v>0.39498619730849976</v>
      </c>
      <c r="I18" s="31">
        <f t="shared" ref="I18" ca="1" si="332">RAND()*0.02+0.35</f>
        <v>0.35029216836269689</v>
      </c>
      <c r="J18" s="31">
        <f t="shared" ref="J18" ca="1" si="333">RAND()*0.025+0.3</f>
        <v>0.31741852669619436</v>
      </c>
      <c r="K18" s="31">
        <f t="shared" ref="K18" ca="1" si="334">RAND()*0.01+0.29</f>
        <v>0.29887115155092497</v>
      </c>
      <c r="L18" s="31">
        <f t="shared" ref="L18" ca="1" si="335">RAND()*0.01+0.28</f>
        <v>0.28767435453365536</v>
      </c>
      <c r="M18" s="31">
        <f t="shared" ref="M18" ca="1" si="336">RAND()*0.01+0.22</f>
        <v>0.2294919275339814</v>
      </c>
      <c r="N18" s="31">
        <f t="shared" ref="N18" ca="1" si="337">RAND()*0.02+0.2</f>
        <v>0.21131906889924254</v>
      </c>
      <c r="O18" s="31">
        <f t="shared" ref="O18" ca="1" si="338">RAND()*0.01+0.18</f>
        <v>0.18676458160632137</v>
      </c>
      <c r="P18" s="31">
        <f t="shared" ref="P18" ca="1" si="339">RAND()*0.01+0.15</f>
        <v>0.15890725134776484</v>
      </c>
      <c r="Q18" s="31">
        <f t="shared" ref="Q18" ca="1" si="340">RAND()*0.01+0.14</f>
        <v>0.14389141781910081</v>
      </c>
      <c r="R18" s="31">
        <f t="shared" ref="R18:T18" ca="1" si="341">RAND()*0.01+0.135</f>
        <v>0.13983226279928368</v>
      </c>
      <c r="S18" s="31">
        <f t="shared" ca="1" si="341"/>
        <v>0.13850081327939648</v>
      </c>
      <c r="T18" s="31">
        <f t="shared" ca="1" si="341"/>
        <v>0.1415195101780779</v>
      </c>
      <c r="U18" s="31">
        <f t="shared" ref="U18:V18" ca="1" si="342">RAND()*0.01+0.12</f>
        <v>0.12828210506417312</v>
      </c>
      <c r="V18" s="31">
        <f t="shared" ca="1" si="342"/>
        <v>0.12720708742245382</v>
      </c>
      <c r="W18" s="31">
        <f t="shared" ref="W18" ca="1" si="343">RAND()*0.01+0.118</f>
        <v>0.12168464745524986</v>
      </c>
      <c r="X18" s="36"/>
      <c r="Y18" s="36"/>
      <c r="Z18" s="36"/>
      <c r="AA18" s="36"/>
      <c r="AB18" s="36"/>
      <c r="AC18" s="36"/>
      <c r="AD18" s="36"/>
      <c r="AE18" s="36"/>
    </row>
    <row r="19" spans="1:31" ht="24" customHeight="1" x14ac:dyDescent="0.15">
      <c r="A19" s="60"/>
      <c r="B19" s="74"/>
      <c r="C19" s="32">
        <f t="shared" ref="C19" ca="1" si="344">C18*B18</f>
        <v>73.969122252817442</v>
      </c>
      <c r="D19" s="32">
        <f t="shared" ref="D19" ca="1" si="345">D18*B18</f>
        <v>71.057138900821926</v>
      </c>
      <c r="E19" s="32">
        <f t="shared" ref="E19" ca="1" si="346">E18*B18</f>
        <v>71.300885020243925</v>
      </c>
      <c r="F19" s="32">
        <f t="shared" ref="F19" ca="1" si="347">F18*B18</f>
        <v>58.659254963216689</v>
      </c>
      <c r="G19" s="32">
        <f t="shared" ref="G19" ca="1" si="348">G18*B18</f>
        <v>48.431396706634921</v>
      </c>
      <c r="H19" s="32">
        <f t="shared" ref="H19" ca="1" si="349">H18*B18</f>
        <v>47.793329874328471</v>
      </c>
      <c r="I19" s="33">
        <f t="shared" ref="I19" ca="1" si="350">I18*B18</f>
        <v>42.38535237188632</v>
      </c>
      <c r="J19" s="33">
        <f t="shared" ref="J19" ca="1" si="351">J18*B18</f>
        <v>38.407641730239519</v>
      </c>
      <c r="K19" s="34">
        <f t="shared" ref="K19" ca="1" si="352">K18*B18</f>
        <v>36.163409337661925</v>
      </c>
      <c r="L19" s="34">
        <f t="shared" ref="L19" ca="1" si="353">L18*B18</f>
        <v>34.808596898572297</v>
      </c>
      <c r="M19" s="34">
        <f t="shared" ref="M19" ca="1" si="354">M18*B18</f>
        <v>27.768523231611749</v>
      </c>
      <c r="N19" s="34">
        <f t="shared" ref="N19" ca="1" si="355">N18*B18</f>
        <v>25.569607336808346</v>
      </c>
      <c r="O19" s="34">
        <f t="shared" ref="O19" ca="1" si="356">O18*B18</f>
        <v>22.598514374364886</v>
      </c>
      <c r="P19" s="34">
        <f t="shared" ref="P19" ca="1" si="357">B18*P18</f>
        <v>19.227777413079547</v>
      </c>
      <c r="Q19" s="34">
        <f t="shared" ref="Q19" ca="1" si="358">Q18*B18</f>
        <v>17.410861556111197</v>
      </c>
      <c r="R19" s="34">
        <f t="shared" ref="R19" ca="1" si="359">R18*B18</f>
        <v>16.919703798713325</v>
      </c>
      <c r="S19" s="34">
        <f t="shared" ref="S19" ca="1" si="360">S18*B18</f>
        <v>16.758598406806975</v>
      </c>
      <c r="T19" s="34">
        <f t="shared" ref="T19" ca="1" si="361">T18*B18</f>
        <v>17.123860731547428</v>
      </c>
      <c r="U19" s="34">
        <f t="shared" ref="U19" ca="1" si="362">U18*B18</f>
        <v>15.522134712764947</v>
      </c>
      <c r="V19" s="34">
        <f t="shared" ref="V19" ca="1" si="363">V18*B18</f>
        <v>15.392057578116912</v>
      </c>
      <c r="W19" s="34">
        <f t="shared" ref="W19" ca="1" si="364">W18*B18</f>
        <v>14.723842342085232</v>
      </c>
      <c r="X19" s="36"/>
      <c r="Y19" s="36"/>
      <c r="Z19" s="36"/>
      <c r="AA19" s="36"/>
      <c r="AB19" s="36"/>
      <c r="AC19" s="36"/>
      <c r="AD19" s="36"/>
      <c r="AE19" s="36"/>
    </row>
    <row r="20" spans="1:31" ht="24" customHeight="1" x14ac:dyDescent="0.15">
      <c r="A20" s="59">
        <v>43063</v>
      </c>
      <c r="B20" s="74">
        <f t="shared" ref="B20" ca="1" si="365">RANDBETWEEN(10,150)</f>
        <v>36</v>
      </c>
      <c r="C20" s="31">
        <f t="shared" ref="C20" ca="1" si="366">RAND()*0.2+0.6</f>
        <v>0.79940316751908769</v>
      </c>
      <c r="D20" s="31">
        <f t="shared" ref="D20:E20" ca="1" si="367">RAND()*0.1+0.5</f>
        <v>0.51563540408292508</v>
      </c>
      <c r="E20" s="31">
        <f t="shared" ca="1" si="367"/>
        <v>0.51576857609186388</v>
      </c>
      <c r="F20" s="31">
        <f t="shared" ref="F20" ca="1" si="368">RAND()*0.05+0.45</f>
        <v>0.45733918785910671</v>
      </c>
      <c r="G20" s="31">
        <f t="shared" ref="G20" ca="1" si="369">RAND()*0.05+0.4</f>
        <v>0.44933345262243418</v>
      </c>
      <c r="H20" s="31">
        <f t="shared" ref="H20" ca="1" si="370">RAND()*0.025+0.375</f>
        <v>0.37883877694383689</v>
      </c>
      <c r="I20" s="31">
        <f t="shared" ref="I20" ca="1" si="371">RAND()*0.02+0.35</f>
        <v>0.35681538416520669</v>
      </c>
      <c r="J20" s="31">
        <f t="shared" ref="J20" ca="1" si="372">RAND()*0.025+0.3</f>
        <v>0.31720603023234811</v>
      </c>
      <c r="K20" s="31">
        <f t="shared" ref="K20" ca="1" si="373">RAND()*0.01+0.29</f>
        <v>0.29424770820661938</v>
      </c>
      <c r="L20" s="31">
        <f t="shared" ref="L20" ca="1" si="374">RAND()*0.01+0.28</f>
        <v>0.28175871642278483</v>
      </c>
      <c r="M20" s="31">
        <f t="shared" ref="M20" ca="1" si="375">RAND()*0.01+0.22</f>
        <v>0.22508653826002833</v>
      </c>
      <c r="N20" s="31">
        <f t="shared" ref="N20" ca="1" si="376">RAND()*0.02+0.2</f>
        <v>0.20736050108282583</v>
      </c>
      <c r="O20" s="31">
        <f t="shared" ref="O20" ca="1" si="377">RAND()*0.01+0.18</f>
        <v>0.18878160654852374</v>
      </c>
      <c r="P20" s="31">
        <f t="shared" ref="P20" ca="1" si="378">RAND()*0.01+0.15</f>
        <v>0.15661875542330633</v>
      </c>
      <c r="Q20" s="31">
        <f t="shared" ref="Q20" ca="1" si="379">RAND()*0.01+0.14</f>
        <v>0.14773330818811625</v>
      </c>
      <c r="R20" s="31">
        <f t="shared" ref="R20:T20" ca="1" si="380">RAND()*0.01+0.135</f>
        <v>0.13770168019212367</v>
      </c>
      <c r="S20" s="31">
        <f t="shared" ca="1" si="380"/>
        <v>0.14121503878110206</v>
      </c>
      <c r="T20" s="31">
        <f t="shared" ca="1" si="380"/>
        <v>0.14046899699115661</v>
      </c>
      <c r="U20" s="31">
        <f t="shared" ref="U20:V20" ca="1" si="381">RAND()*0.01+0.12</f>
        <v>0.12418676167214279</v>
      </c>
      <c r="V20" s="31">
        <f t="shared" ca="1" si="381"/>
        <v>0.1291081431426703</v>
      </c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 ht="24" customHeight="1" x14ac:dyDescent="0.15">
      <c r="A21" s="60"/>
      <c r="B21" s="74"/>
      <c r="C21" s="32">
        <f t="shared" ref="C21" ca="1" si="382">C20*B20</f>
        <v>28.778514030687155</v>
      </c>
      <c r="D21" s="32">
        <f t="shared" ref="D21" ca="1" si="383">D20*B20</f>
        <v>18.562874546985302</v>
      </c>
      <c r="E21" s="32">
        <f t="shared" ref="E21" ca="1" si="384">E20*B20</f>
        <v>18.567668739307098</v>
      </c>
      <c r="F21" s="32">
        <f t="shared" ref="F21" ca="1" si="385">F20*B20</f>
        <v>16.464210762927841</v>
      </c>
      <c r="G21" s="32">
        <f t="shared" ref="G21" ca="1" si="386">G20*B20</f>
        <v>16.17600429440763</v>
      </c>
      <c r="H21" s="32">
        <f t="shared" ref="H21" ca="1" si="387">H20*B20</f>
        <v>13.638195969978128</v>
      </c>
      <c r="I21" s="33">
        <f t="shared" ref="I21" ca="1" si="388">I20*B20</f>
        <v>12.845353829947442</v>
      </c>
      <c r="J21" s="33">
        <f t="shared" ref="J21" ca="1" si="389">J20*B20</f>
        <v>11.419417088364533</v>
      </c>
      <c r="K21" s="34">
        <f t="shared" ref="K21" ca="1" si="390">K20*B20</f>
        <v>10.592917495438298</v>
      </c>
      <c r="L21" s="34">
        <f t="shared" ref="L21" ca="1" si="391">L20*B20</f>
        <v>10.143313791220255</v>
      </c>
      <c r="M21" s="34">
        <f t="shared" ref="M21" ca="1" si="392">M20*B20</f>
        <v>8.1031153773610196</v>
      </c>
      <c r="N21" s="34">
        <f t="shared" ref="N21" ca="1" si="393">N20*B20</f>
        <v>7.4649780389817302</v>
      </c>
      <c r="O21" s="34">
        <f t="shared" ref="O21" ca="1" si="394">O20*B20</f>
        <v>6.7961378357468547</v>
      </c>
      <c r="P21" s="34">
        <f t="shared" ref="P21" ca="1" si="395">B20*P20</f>
        <v>5.6382751952390278</v>
      </c>
      <c r="Q21" s="34">
        <f t="shared" ref="Q21" ca="1" si="396">Q20*B20</f>
        <v>5.3183990947721851</v>
      </c>
      <c r="R21" s="34">
        <f t="shared" ref="R21" ca="1" si="397">R20*B20</f>
        <v>4.9572604869164518</v>
      </c>
      <c r="S21" s="34">
        <f t="shared" ref="S21" ca="1" si="398">S20*B20</f>
        <v>5.0837413961196738</v>
      </c>
      <c r="T21" s="34">
        <f t="shared" ref="T21" ca="1" si="399">T20*B20</f>
        <v>5.0568838916816379</v>
      </c>
      <c r="U21" s="34">
        <f t="shared" ref="U21" ca="1" si="400">U20*B20</f>
        <v>4.4707234201971406</v>
      </c>
      <c r="V21" s="34">
        <f t="shared" ref="V21" ca="1" si="401">V20*B20</f>
        <v>4.6478931531361312</v>
      </c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 ht="24" customHeight="1" x14ac:dyDescent="0.15">
      <c r="A22" s="59">
        <v>43064</v>
      </c>
      <c r="B22" s="74">
        <f t="shared" ref="B22" ca="1" si="402">RANDBETWEEN(10,150)</f>
        <v>73</v>
      </c>
      <c r="C22" s="31">
        <f t="shared" ref="C22" ca="1" si="403">RAND()*0.2+0.6</f>
        <v>0.73745784670718795</v>
      </c>
      <c r="D22" s="31">
        <f t="shared" ref="D22:E22" ca="1" si="404">RAND()*0.1+0.5</f>
        <v>0.52611832173848239</v>
      </c>
      <c r="E22" s="31">
        <f t="shared" ca="1" si="404"/>
        <v>0.53732131864981481</v>
      </c>
      <c r="F22" s="31">
        <f t="shared" ref="F22" ca="1" si="405">RAND()*0.05+0.45</f>
        <v>0.4957962969055385</v>
      </c>
      <c r="G22" s="31">
        <f t="shared" ref="G22" ca="1" si="406">RAND()*0.05+0.4</f>
        <v>0.4265444802560493</v>
      </c>
      <c r="H22" s="31">
        <f t="shared" ref="H22" ca="1" si="407">RAND()*0.025+0.375</f>
        <v>0.38600094781101557</v>
      </c>
      <c r="I22" s="31">
        <f t="shared" ref="I22" ca="1" si="408">RAND()*0.02+0.35</f>
        <v>0.36716481894818803</v>
      </c>
      <c r="J22" s="31">
        <f t="shared" ref="J22" ca="1" si="409">RAND()*0.025+0.3</f>
        <v>0.30540761708284792</v>
      </c>
      <c r="K22" s="31">
        <f t="shared" ref="K22" ca="1" si="410">RAND()*0.01+0.29</f>
        <v>0.29354206965877438</v>
      </c>
      <c r="L22" s="31">
        <f t="shared" ref="L22" ca="1" si="411">RAND()*0.01+0.28</f>
        <v>0.2897936364465355</v>
      </c>
      <c r="M22" s="31">
        <f t="shared" ref="M22" ca="1" si="412">RAND()*0.01+0.22</f>
        <v>0.22871798876874283</v>
      </c>
      <c r="N22" s="31">
        <f t="shared" ref="N22" ca="1" si="413">RAND()*0.02+0.2</f>
        <v>0.21192754835148103</v>
      </c>
      <c r="O22" s="31">
        <f t="shared" ref="O22" ca="1" si="414">RAND()*0.01+0.18</f>
        <v>0.18425882142897285</v>
      </c>
      <c r="P22" s="31">
        <f t="shared" ref="P22" ca="1" si="415">RAND()*0.01+0.15</f>
        <v>0.15973700600189383</v>
      </c>
      <c r="Q22" s="31">
        <f t="shared" ref="Q22" ca="1" si="416">RAND()*0.01+0.14</f>
        <v>0.14300844784769892</v>
      </c>
      <c r="R22" s="31">
        <f t="shared" ref="R22:T22" ca="1" si="417">RAND()*0.01+0.135</f>
        <v>0.1430750525073686</v>
      </c>
      <c r="S22" s="31">
        <f t="shared" ca="1" si="417"/>
        <v>0.14222428043266466</v>
      </c>
      <c r="T22" s="31">
        <f t="shared" ca="1" si="417"/>
        <v>0.13963009470239302</v>
      </c>
      <c r="U22" s="31">
        <f t="shared" ref="U22" ca="1" si="418">RAND()*0.01+0.12</f>
        <v>0.12744574299926092</v>
      </c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 ht="24" customHeight="1" x14ac:dyDescent="0.15">
      <c r="A23" s="60"/>
      <c r="B23" s="74"/>
      <c r="C23" s="32">
        <f t="shared" ref="C23" ca="1" si="419">C22*B22</f>
        <v>53.834422809624719</v>
      </c>
      <c r="D23" s="32">
        <f t="shared" ref="D23" ca="1" si="420">D22*B22</f>
        <v>38.406637486909212</v>
      </c>
      <c r="E23" s="32">
        <f t="shared" ref="E23" ca="1" si="421">E22*B22</f>
        <v>39.22445626143648</v>
      </c>
      <c r="F23" s="32">
        <f t="shared" ref="F23" ca="1" si="422">F22*B22</f>
        <v>36.193129674104313</v>
      </c>
      <c r="G23" s="32">
        <f t="shared" ref="G23" ca="1" si="423">G22*B22</f>
        <v>31.137747058691598</v>
      </c>
      <c r="H23" s="32">
        <f t="shared" ref="H23" ca="1" si="424">H22*B22</f>
        <v>28.178069190204138</v>
      </c>
      <c r="I23" s="33">
        <f t="shared" ref="I23" ca="1" si="425">I22*B22</f>
        <v>26.803031783217726</v>
      </c>
      <c r="J23" s="33">
        <f t="shared" ref="J23" ca="1" si="426">J22*B22</f>
        <v>22.294756047047898</v>
      </c>
      <c r="K23" s="34">
        <f t="shared" ref="K23" ca="1" si="427">K22*B22</f>
        <v>21.428571085090532</v>
      </c>
      <c r="L23" s="34">
        <f t="shared" ref="L23" ca="1" si="428">L22*B22</f>
        <v>21.154935460597091</v>
      </c>
      <c r="M23" s="34">
        <f t="shared" ref="M23" ca="1" si="429">M22*B22</f>
        <v>16.696413180118228</v>
      </c>
      <c r="N23" s="34">
        <f t="shared" ref="N23" ca="1" si="430">N22*B22</f>
        <v>15.470711029658116</v>
      </c>
      <c r="O23" s="34">
        <f t="shared" ref="O23" ca="1" si="431">O22*B22</f>
        <v>13.450893964315018</v>
      </c>
      <c r="P23" s="34">
        <f t="shared" ref="P23" ca="1" si="432">B22*P22</f>
        <v>11.66080143813825</v>
      </c>
      <c r="Q23" s="34">
        <f t="shared" ref="Q23" ca="1" si="433">Q22*B22</f>
        <v>10.439616692882021</v>
      </c>
      <c r="R23" s="34">
        <f t="shared" ref="R23" ca="1" si="434">R22*B22</f>
        <v>10.444478833037907</v>
      </c>
      <c r="S23" s="34">
        <f t="shared" ref="S23" ca="1" si="435">S22*B22</f>
        <v>10.382372471584521</v>
      </c>
      <c r="T23" s="34">
        <f t="shared" ref="T23" ca="1" si="436">T22*B22</f>
        <v>10.19299691327469</v>
      </c>
      <c r="U23" s="34">
        <f t="shared" ref="U23" ca="1" si="437">U22*B22</f>
        <v>9.3035392389460476</v>
      </c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 ht="24" customHeight="1" x14ac:dyDescent="0.15">
      <c r="A24" s="59">
        <v>43065</v>
      </c>
      <c r="B24" s="74">
        <f t="shared" ref="B24" ca="1" si="438">RANDBETWEEN(10,150)</f>
        <v>121</v>
      </c>
      <c r="C24" s="31">
        <f t="shared" ref="C24" ca="1" si="439">RAND()*0.2+0.6</f>
        <v>0.61316594061589513</v>
      </c>
      <c r="D24" s="31">
        <f t="shared" ref="D24:E24" ca="1" si="440">RAND()*0.1+0.5</f>
        <v>0.51133307558039176</v>
      </c>
      <c r="E24" s="31">
        <f t="shared" ca="1" si="440"/>
        <v>0.52559411633294761</v>
      </c>
      <c r="F24" s="31">
        <f t="shared" ref="F24" ca="1" si="441">RAND()*0.05+0.45</f>
        <v>0.49608013758354746</v>
      </c>
      <c r="G24" s="31">
        <f t="shared" ref="G24" ca="1" si="442">RAND()*0.05+0.4</f>
        <v>0.4409123236917612</v>
      </c>
      <c r="H24" s="31">
        <f t="shared" ref="H24" ca="1" si="443">RAND()*0.025+0.375</f>
        <v>0.38628619058136565</v>
      </c>
      <c r="I24" s="31">
        <f t="shared" ref="I24" ca="1" si="444">RAND()*0.02+0.35</f>
        <v>0.35535790072549717</v>
      </c>
      <c r="J24" s="31">
        <f t="shared" ref="J24" ca="1" si="445">RAND()*0.025+0.3</f>
        <v>0.3148861836211671</v>
      </c>
      <c r="K24" s="31">
        <f t="shared" ref="K24" ca="1" si="446">RAND()*0.01+0.29</f>
        <v>0.29484166186912986</v>
      </c>
      <c r="L24" s="31">
        <f t="shared" ref="L24" ca="1" si="447">RAND()*0.01+0.28</f>
        <v>0.28652811739764761</v>
      </c>
      <c r="M24" s="31">
        <f t="shared" ref="M24" ca="1" si="448">RAND()*0.01+0.22</f>
        <v>0.22956733435770552</v>
      </c>
      <c r="N24" s="31">
        <f t="shared" ref="N24" ca="1" si="449">RAND()*0.02+0.2</f>
        <v>0.20280695082591016</v>
      </c>
      <c r="O24" s="31">
        <f t="shared" ref="O24" ca="1" si="450">RAND()*0.01+0.18</f>
        <v>0.185373625337374</v>
      </c>
      <c r="P24" s="31">
        <f t="shared" ref="P24" ca="1" si="451">RAND()*0.01+0.15</f>
        <v>0.15516426815513951</v>
      </c>
      <c r="Q24" s="31">
        <f t="shared" ref="Q24" ca="1" si="452">RAND()*0.01+0.14</f>
        <v>0.14551693577853766</v>
      </c>
      <c r="R24" s="31">
        <f t="shared" ref="R24:T24" ca="1" si="453">RAND()*0.01+0.135</f>
        <v>0.14032529756080511</v>
      </c>
      <c r="S24" s="31">
        <f t="shared" ca="1" si="453"/>
        <v>0.14158025785892367</v>
      </c>
      <c r="T24" s="31">
        <f t="shared" ca="1" si="453"/>
        <v>0.13771954420174398</v>
      </c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 ht="24" customHeight="1" x14ac:dyDescent="0.15">
      <c r="A25" s="60"/>
      <c r="B25" s="74"/>
      <c r="C25" s="32">
        <f t="shared" ref="C25" ca="1" si="454">C24*B24</f>
        <v>74.193078814523318</v>
      </c>
      <c r="D25" s="32">
        <f t="shared" ref="D25" ca="1" si="455">D24*B24</f>
        <v>61.871302145227403</v>
      </c>
      <c r="E25" s="32">
        <f t="shared" ref="E25" ca="1" si="456">E24*B24</f>
        <v>63.59688807628666</v>
      </c>
      <c r="F25" s="32">
        <f t="shared" ref="F25" ca="1" si="457">F24*B24</f>
        <v>60.025696647609244</v>
      </c>
      <c r="G25" s="32">
        <f t="shared" ref="G25" ca="1" si="458">G24*B24</f>
        <v>53.350391166703105</v>
      </c>
      <c r="H25" s="32">
        <f t="shared" ref="H25" ca="1" si="459">H24*B24</f>
        <v>46.740629060345242</v>
      </c>
      <c r="I25" s="33">
        <f t="shared" ref="I25" ca="1" si="460">I24*B24</f>
        <v>42.998305987785159</v>
      </c>
      <c r="J25" s="33">
        <f t="shared" ref="J25" ca="1" si="461">J24*B24</f>
        <v>38.101228218161218</v>
      </c>
      <c r="K25" s="34">
        <f t="shared" ref="K25" ca="1" si="462">K24*B24</f>
        <v>35.675841086164709</v>
      </c>
      <c r="L25" s="34">
        <f t="shared" ref="L25" ca="1" si="463">L24*B24</f>
        <v>34.669902205115363</v>
      </c>
      <c r="M25" s="34">
        <f t="shared" ref="M25" ca="1" si="464">M24*B24</f>
        <v>27.777647457282367</v>
      </c>
      <c r="N25" s="34">
        <f t="shared" ref="N25" ca="1" si="465">N24*B24</f>
        <v>24.539641049935128</v>
      </c>
      <c r="O25" s="34">
        <f t="shared" ref="O25" ca="1" si="466">O24*B24</f>
        <v>22.430208665822253</v>
      </c>
      <c r="P25" s="34">
        <f t="shared" ref="P25" ca="1" si="467">B24*P24</f>
        <v>18.774876446771881</v>
      </c>
      <c r="Q25" s="34">
        <f t="shared" ref="Q25" ca="1" si="468">Q24*B24</f>
        <v>17.607549229203059</v>
      </c>
      <c r="R25" s="34">
        <f t="shared" ref="R25" ca="1" si="469">R24*B24</f>
        <v>16.97936100485742</v>
      </c>
      <c r="S25" s="34">
        <f t="shared" ref="S25" ca="1" si="470">S24*B24</f>
        <v>17.131211200929766</v>
      </c>
      <c r="T25" s="34">
        <f t="shared" ref="T25" ca="1" si="471">T24*B24</f>
        <v>16.664064848411023</v>
      </c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 ht="24" customHeight="1" x14ac:dyDescent="0.15">
      <c r="A26" s="59">
        <v>43066</v>
      </c>
      <c r="B26" s="74">
        <f t="shared" ref="B26" ca="1" si="472">RANDBETWEEN(10,150)</f>
        <v>70</v>
      </c>
      <c r="C26" s="31">
        <f t="shared" ref="C26" ca="1" si="473">RAND()*0.2+0.6</f>
        <v>0.64595512132020472</v>
      </c>
      <c r="D26" s="31">
        <f t="shared" ref="D26:E26" ca="1" si="474">RAND()*0.1+0.5</f>
        <v>0.54919801550796832</v>
      </c>
      <c r="E26" s="31">
        <f t="shared" ca="1" si="474"/>
        <v>0.51832270996073304</v>
      </c>
      <c r="F26" s="31">
        <f t="shared" ref="F26" ca="1" si="475">RAND()*0.05+0.45</f>
        <v>0.46490918232764117</v>
      </c>
      <c r="G26" s="31">
        <f t="shared" ref="G26" ca="1" si="476">RAND()*0.05+0.4</f>
        <v>0.42281633232069338</v>
      </c>
      <c r="H26" s="31">
        <f t="shared" ref="H26" ca="1" si="477">RAND()*0.025+0.375</f>
        <v>0.37503340040895478</v>
      </c>
      <c r="I26" s="31">
        <f t="shared" ref="I26" ca="1" si="478">RAND()*0.02+0.35</f>
        <v>0.36237617765187319</v>
      </c>
      <c r="J26" s="31">
        <f t="shared" ref="J26" ca="1" si="479">RAND()*0.025+0.3</f>
        <v>0.30875259489079215</v>
      </c>
      <c r="K26" s="31">
        <f t="shared" ref="K26" ca="1" si="480">RAND()*0.01+0.29</f>
        <v>0.29923561814297933</v>
      </c>
      <c r="L26" s="31">
        <f t="shared" ref="L26" ca="1" si="481">RAND()*0.01+0.28</f>
        <v>0.28310423511891075</v>
      </c>
      <c r="M26" s="31">
        <f t="shared" ref="M26" ca="1" si="482">RAND()*0.01+0.22</f>
        <v>0.22780454544156967</v>
      </c>
      <c r="N26" s="31">
        <f t="shared" ref="N26" ca="1" si="483">RAND()*0.02+0.2</f>
        <v>0.21400500860693497</v>
      </c>
      <c r="O26" s="31">
        <f t="shared" ref="O26" ca="1" si="484">RAND()*0.01+0.18</f>
        <v>0.1826480561049868</v>
      </c>
      <c r="P26" s="31">
        <f t="shared" ref="P26" ca="1" si="485">RAND()*0.01+0.15</f>
        <v>0.15848978039816461</v>
      </c>
      <c r="Q26" s="31">
        <f t="shared" ref="Q26" ca="1" si="486">RAND()*0.01+0.14</f>
        <v>0.14543938585184196</v>
      </c>
      <c r="R26" s="31">
        <f t="shared" ref="R26:S26" ca="1" si="487">RAND()*0.01+0.135</f>
        <v>0.13525232586996966</v>
      </c>
      <c r="S26" s="31">
        <f t="shared" ca="1" si="487"/>
        <v>0.13918645989826345</v>
      </c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 ht="24" customHeight="1" x14ac:dyDescent="0.15">
      <c r="A27" s="60"/>
      <c r="B27" s="74"/>
      <c r="C27" s="32">
        <f t="shared" ref="C27" ca="1" si="488">C26*B26</f>
        <v>45.216858492414332</v>
      </c>
      <c r="D27" s="32">
        <f t="shared" ref="D27" ca="1" si="489">D26*B26</f>
        <v>38.443861085557785</v>
      </c>
      <c r="E27" s="32">
        <f t="shared" ref="E27" ca="1" si="490">E26*B26</f>
        <v>36.282589697251311</v>
      </c>
      <c r="F27" s="32">
        <f t="shared" ref="F27" ca="1" si="491">F26*B26</f>
        <v>32.54364276293488</v>
      </c>
      <c r="G27" s="32">
        <f t="shared" ref="G27" ca="1" si="492">G26*B26</f>
        <v>29.597143262448537</v>
      </c>
      <c r="H27" s="32">
        <f t="shared" ref="H27" ca="1" si="493">H26*B26</f>
        <v>26.252338028626834</v>
      </c>
      <c r="I27" s="33">
        <f t="shared" ref="I27" ca="1" si="494">I26*B26</f>
        <v>25.366332435631122</v>
      </c>
      <c r="J27" s="33">
        <f t="shared" ref="J27" ca="1" si="495">J26*B26</f>
        <v>21.612681642355451</v>
      </c>
      <c r="K27" s="34">
        <f t="shared" ref="K27" ca="1" si="496">K26*B26</f>
        <v>20.946493270008553</v>
      </c>
      <c r="L27" s="34">
        <f t="shared" ref="L27" ca="1" si="497">L26*B26</f>
        <v>19.817296458323753</v>
      </c>
      <c r="M27" s="34">
        <f t="shared" ref="M27" ca="1" si="498">M26*B26</f>
        <v>15.946318180909877</v>
      </c>
      <c r="N27" s="34">
        <f t="shared" ref="N27" ca="1" si="499">N26*B26</f>
        <v>14.980350602485448</v>
      </c>
      <c r="O27" s="34">
        <f t="shared" ref="O27" ca="1" si="500">O26*B26</f>
        <v>12.785363927349076</v>
      </c>
      <c r="P27" s="34">
        <f t="shared" ref="P27" ca="1" si="501">B26*P26</f>
        <v>11.094284627871522</v>
      </c>
      <c r="Q27" s="34">
        <f t="shared" ref="Q27" ca="1" si="502">Q26*B26</f>
        <v>10.180757009628937</v>
      </c>
      <c r="R27" s="34">
        <f t="shared" ref="R27" ca="1" si="503">R26*B26</f>
        <v>9.4676628108978758</v>
      </c>
      <c r="S27" s="34">
        <f t="shared" ref="S27" ca="1" si="504">S26*B26</f>
        <v>9.7430521928784408</v>
      </c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24" customHeight="1" x14ac:dyDescent="0.15">
      <c r="A28" s="59">
        <v>43067</v>
      </c>
      <c r="B28" s="74">
        <f t="shared" ref="B28" ca="1" si="505">RANDBETWEEN(10,150)</f>
        <v>122</v>
      </c>
      <c r="C28" s="31">
        <f t="shared" ref="C28" ca="1" si="506">RAND()*0.2+0.6</f>
        <v>0.69058706425174887</v>
      </c>
      <c r="D28" s="31">
        <f t="shared" ref="D28:E28" ca="1" si="507">RAND()*0.1+0.5</f>
        <v>0.57470351335084457</v>
      </c>
      <c r="E28" s="31">
        <f t="shared" ca="1" si="507"/>
        <v>0.53161937770990009</v>
      </c>
      <c r="F28" s="31">
        <f t="shared" ref="F28" ca="1" si="508">RAND()*0.05+0.45</f>
        <v>0.48486172890833312</v>
      </c>
      <c r="G28" s="31">
        <f t="shared" ref="G28" ca="1" si="509">RAND()*0.05+0.4</f>
        <v>0.42165957487870637</v>
      </c>
      <c r="H28" s="31">
        <f t="shared" ref="H28" ca="1" si="510">RAND()*0.025+0.375</f>
        <v>0.39794875281633552</v>
      </c>
      <c r="I28" s="31">
        <f t="shared" ref="I28" ca="1" si="511">RAND()*0.02+0.35</f>
        <v>0.35564243343619467</v>
      </c>
      <c r="J28" s="31">
        <f t="shared" ref="J28" ca="1" si="512">RAND()*0.025+0.3</f>
        <v>0.30229175782674828</v>
      </c>
      <c r="K28" s="31">
        <f t="shared" ref="K28" ca="1" si="513">RAND()*0.01+0.29</f>
        <v>0.29632993458056717</v>
      </c>
      <c r="L28" s="31">
        <f t="shared" ref="L28" ca="1" si="514">RAND()*0.01+0.28</f>
        <v>0.28533691064417338</v>
      </c>
      <c r="M28" s="31">
        <f t="shared" ref="M28" ca="1" si="515">RAND()*0.01+0.22</f>
        <v>0.22529693277975074</v>
      </c>
      <c r="N28" s="31">
        <f t="shared" ref="N28" ca="1" si="516">RAND()*0.02+0.2</f>
        <v>0.21523059046023993</v>
      </c>
      <c r="O28" s="31">
        <f t="shared" ref="O28" ca="1" si="517">RAND()*0.01+0.18</f>
        <v>0.18575934899305394</v>
      </c>
      <c r="P28" s="31">
        <f t="shared" ref="P28" ca="1" si="518">RAND()*0.01+0.15</f>
        <v>0.15773335473228065</v>
      </c>
      <c r="Q28" s="31">
        <f t="shared" ref="Q28" ca="1" si="519">RAND()*0.01+0.14</f>
        <v>0.14796680720495853</v>
      </c>
      <c r="R28" s="31">
        <f t="shared" ref="R28" ca="1" si="520">RAND()*0.01+0.135</f>
        <v>0.14142765102954269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 ht="24" customHeight="1" x14ac:dyDescent="0.15">
      <c r="A29" s="60"/>
      <c r="B29" s="74"/>
      <c r="C29" s="32">
        <f t="shared" ref="C29" ca="1" si="521">C28*B28</f>
        <v>84.251621838713362</v>
      </c>
      <c r="D29" s="32">
        <f t="shared" ref="D29" ca="1" si="522">D28*B28</f>
        <v>70.113828628803034</v>
      </c>
      <c r="E29" s="32">
        <f t="shared" ref="E29" ca="1" si="523">E28*B28</f>
        <v>64.857564080607816</v>
      </c>
      <c r="F29" s="32">
        <f t="shared" ref="F29" ca="1" si="524">F28*B28</f>
        <v>59.153130926816644</v>
      </c>
      <c r="G29" s="32">
        <f t="shared" ref="G29" ca="1" si="525">G28*B28</f>
        <v>51.442468135202176</v>
      </c>
      <c r="H29" s="32">
        <f t="shared" ref="H29" ca="1" si="526">H28*B28</f>
        <v>48.549747843592932</v>
      </c>
      <c r="I29" s="33">
        <f t="shared" ref="I29" ca="1" si="527">I28*B28</f>
        <v>43.388376879215748</v>
      </c>
      <c r="J29" s="33">
        <f t="shared" ref="J29" ca="1" si="528">J28*B28</f>
        <v>36.879594454863287</v>
      </c>
      <c r="K29" s="34">
        <f t="shared" ref="K29" ca="1" si="529">K28*B28</f>
        <v>36.152252018829195</v>
      </c>
      <c r="L29" s="34">
        <f t="shared" ref="L29" ca="1" si="530">L28*B28</f>
        <v>34.81110309858915</v>
      </c>
      <c r="M29" s="34">
        <f t="shared" ref="M29" ca="1" si="531">M28*B28</f>
        <v>27.486225799129592</v>
      </c>
      <c r="N29" s="34">
        <f t="shared" ref="N29" ca="1" si="532">N28*B28</f>
        <v>26.25813203614927</v>
      </c>
      <c r="O29" s="34">
        <f t="shared" ref="O29" ca="1" si="533">O28*B28</f>
        <v>22.66264057715258</v>
      </c>
      <c r="P29" s="34">
        <f t="shared" ref="P29" ca="1" si="534">B28*P28</f>
        <v>19.243469277338239</v>
      </c>
      <c r="Q29" s="34">
        <f t="shared" ref="Q29" ca="1" si="535">Q28*B28</f>
        <v>18.05195047900494</v>
      </c>
      <c r="R29" s="34">
        <f t="shared" ref="R29" ca="1" si="536">R28*B28</f>
        <v>17.254173425604208</v>
      </c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24" customHeight="1" x14ac:dyDescent="0.15">
      <c r="A30" s="59">
        <v>43068</v>
      </c>
      <c r="B30" s="74">
        <f t="shared" ref="B30" ca="1" si="537">RANDBETWEEN(10,150)</f>
        <v>122</v>
      </c>
      <c r="C30" s="31">
        <f t="shared" ref="C30" ca="1" si="538">RAND()*0.2+0.6</f>
        <v>0.78916500400502665</v>
      </c>
      <c r="D30" s="31">
        <f t="shared" ref="D30:E30" ca="1" si="539">RAND()*0.1+0.5</f>
        <v>0.52285355882806506</v>
      </c>
      <c r="E30" s="31">
        <f t="shared" ca="1" si="539"/>
        <v>0.56875823765162925</v>
      </c>
      <c r="F30" s="31">
        <f t="shared" ref="F30" ca="1" si="540">RAND()*0.05+0.45</f>
        <v>0.47255112424037959</v>
      </c>
      <c r="G30" s="31">
        <f t="shared" ref="G30" ca="1" si="541">RAND()*0.05+0.4</f>
        <v>0.44789233966266451</v>
      </c>
      <c r="H30" s="31">
        <f t="shared" ref="H30" ca="1" si="542">RAND()*0.025+0.375</f>
        <v>0.38176048324054618</v>
      </c>
      <c r="I30" s="31">
        <f t="shared" ref="I30" ca="1" si="543">RAND()*0.02+0.35</f>
        <v>0.35473089363435306</v>
      </c>
      <c r="J30" s="31">
        <f t="shared" ref="J30" ca="1" si="544">RAND()*0.025+0.3</f>
        <v>0.31149137381754882</v>
      </c>
      <c r="K30" s="31">
        <f t="shared" ref="K30" ca="1" si="545">RAND()*0.01+0.29</f>
        <v>0.29108927769150506</v>
      </c>
      <c r="L30" s="31">
        <f t="shared" ref="L30" ca="1" si="546">RAND()*0.01+0.28</f>
        <v>0.28772523933378713</v>
      </c>
      <c r="M30" s="31">
        <f t="shared" ref="M30" ca="1" si="547">RAND()*0.01+0.22</f>
        <v>0.22084328633062311</v>
      </c>
      <c r="N30" s="31">
        <f t="shared" ref="N30" ca="1" si="548">RAND()*0.02+0.2</f>
        <v>0.21945828384519109</v>
      </c>
      <c r="O30" s="31">
        <f t="shared" ref="O30" ca="1" si="549">RAND()*0.01+0.18</f>
        <v>0.18683787923259834</v>
      </c>
      <c r="P30" s="31">
        <f t="shared" ref="P30" ca="1" si="550">RAND()*0.01+0.15</f>
        <v>0.15613194158327071</v>
      </c>
      <c r="Q30" s="31">
        <f t="shared" ref="Q30" ca="1" si="551">RAND()*0.01+0.14</f>
        <v>0.14349647501746399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24" customHeight="1" x14ac:dyDescent="0.15">
      <c r="A31" s="60"/>
      <c r="B31" s="74"/>
      <c r="C31" s="32">
        <f t="shared" ref="C31" ca="1" si="552">C30*B30</f>
        <v>96.278130488613257</v>
      </c>
      <c r="D31" s="32">
        <f t="shared" ref="D31" ca="1" si="553">D30*B30</f>
        <v>63.788134177023935</v>
      </c>
      <c r="E31" s="32">
        <f t="shared" ref="E31" ca="1" si="554">E30*B30</f>
        <v>69.388504993498771</v>
      </c>
      <c r="F31" s="32">
        <f t="shared" ref="F31" ca="1" si="555">F30*B30</f>
        <v>57.651237157326314</v>
      </c>
      <c r="G31" s="32">
        <f t="shared" ref="G31" ca="1" si="556">G30*B30</f>
        <v>54.642865438845071</v>
      </c>
      <c r="H31" s="32">
        <f t="shared" ref="H31" ca="1" si="557">H30*B30</f>
        <v>46.57477895534663</v>
      </c>
      <c r="I31" s="33">
        <f t="shared" ref="I31" ca="1" si="558">I30*B30</f>
        <v>43.277169023391075</v>
      </c>
      <c r="J31" s="33">
        <f t="shared" ref="J31" ca="1" si="559">J30*B30</f>
        <v>38.001947605740959</v>
      </c>
      <c r="K31" s="34">
        <f t="shared" ref="K31" ca="1" si="560">K30*B30</f>
        <v>35.512891878363618</v>
      </c>
      <c r="L31" s="34">
        <f t="shared" ref="L31" ca="1" si="561">L30*B30</f>
        <v>35.10247919872203</v>
      </c>
      <c r="M31" s="34">
        <f t="shared" ref="M31" ca="1" si="562">M30*B30</f>
        <v>26.942880932336021</v>
      </c>
      <c r="N31" s="34">
        <f t="shared" ref="N31" ca="1" si="563">N30*B30</f>
        <v>26.773910629113313</v>
      </c>
      <c r="O31" s="34">
        <f t="shared" ref="O31" ca="1" si="564">O30*B30</f>
        <v>22.794221266376997</v>
      </c>
      <c r="P31" s="34">
        <f t="shared" ref="P31" ca="1" si="565">B30*P30</f>
        <v>19.048096873159025</v>
      </c>
      <c r="Q31" s="34">
        <f t="shared" ref="Q31" ca="1" si="566">Q30*B30</f>
        <v>17.506569952130608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 ht="24" customHeight="1" x14ac:dyDescent="0.15">
      <c r="A32" s="59">
        <v>43069</v>
      </c>
      <c r="B32" s="74">
        <f t="shared" ref="B32" ca="1" si="567">RANDBETWEEN(10,150)</f>
        <v>125</v>
      </c>
      <c r="C32" s="31">
        <f t="shared" ref="C32" ca="1" si="568">RAND()*0.2+0.6</f>
        <v>0.74430732989315662</v>
      </c>
      <c r="D32" s="31">
        <f t="shared" ref="D32:E32" ca="1" si="569">RAND()*0.1+0.5</f>
        <v>0.57780303124194576</v>
      </c>
      <c r="E32" s="31">
        <f t="shared" ca="1" si="569"/>
        <v>0.59459133410483611</v>
      </c>
      <c r="F32" s="31">
        <f t="shared" ref="F32" ca="1" si="570">RAND()*0.05+0.45</f>
        <v>0.45283932197589344</v>
      </c>
      <c r="G32" s="31">
        <f t="shared" ref="G32" ca="1" si="571">RAND()*0.05+0.4</f>
        <v>0.40429921123705503</v>
      </c>
      <c r="H32" s="31">
        <f t="shared" ref="H32" ca="1" si="572">RAND()*0.025+0.375</f>
        <v>0.37763693825854422</v>
      </c>
      <c r="I32" s="31">
        <f t="shared" ref="I32" ca="1" si="573">RAND()*0.02+0.35</f>
        <v>0.36864616808961365</v>
      </c>
      <c r="J32" s="31">
        <f t="shared" ref="J32" ca="1" si="574">RAND()*0.025+0.3</f>
        <v>0.31252201677614477</v>
      </c>
      <c r="K32" s="31">
        <f t="shared" ref="K32" ca="1" si="575">RAND()*0.01+0.29</f>
        <v>0.29933737143232531</v>
      </c>
      <c r="L32" s="31">
        <f t="shared" ref="L32" ca="1" si="576">RAND()*0.01+0.28</f>
        <v>0.28341198390566019</v>
      </c>
      <c r="M32" s="31">
        <f t="shared" ref="M32" ca="1" si="577">RAND()*0.01+0.22</f>
        <v>0.22315075809901261</v>
      </c>
      <c r="N32" s="31">
        <f t="shared" ref="N32" ca="1" si="578">RAND()*0.02+0.2</f>
        <v>0.20624005189996863</v>
      </c>
      <c r="O32" s="31">
        <f t="shared" ref="O32" ca="1" si="579">RAND()*0.01+0.18</f>
        <v>0.18229624416231624</v>
      </c>
      <c r="P32" s="31">
        <f t="shared" ref="P32" ca="1" si="580">RAND()*0.01+0.15</f>
        <v>0.15619696260529253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 ht="24" customHeight="1" x14ac:dyDescent="0.15">
      <c r="A33" s="60"/>
      <c r="B33" s="74"/>
      <c r="C33" s="32">
        <f t="shared" ref="C33" ca="1" si="581">C32*B32</f>
        <v>93.038416236644579</v>
      </c>
      <c r="D33" s="32">
        <f t="shared" ref="D33" ca="1" si="582">D32*B32</f>
        <v>72.225378905243218</v>
      </c>
      <c r="E33" s="32">
        <f t="shared" ref="E33" ca="1" si="583">E32*B32</f>
        <v>74.323916763104521</v>
      </c>
      <c r="F33" s="32">
        <f t="shared" ref="F33" ca="1" si="584">F32*B32</f>
        <v>56.604915246986678</v>
      </c>
      <c r="G33" s="32">
        <f t="shared" ref="G33" ca="1" si="585">G32*B32</f>
        <v>50.537401404631879</v>
      </c>
      <c r="H33" s="32">
        <f t="shared" ref="H33" ca="1" si="586">H32*B32</f>
        <v>47.204617282318026</v>
      </c>
      <c r="I33" s="33">
        <f t="shared" ref="I33" ca="1" si="587">I32*B32</f>
        <v>46.080771011201705</v>
      </c>
      <c r="J33" s="33">
        <f t="shared" ref="J33" ca="1" si="588">J32*B32</f>
        <v>39.065252097018096</v>
      </c>
      <c r="K33" s="34">
        <f t="shared" ref="K33" ca="1" si="589">K32*B32</f>
        <v>37.417171429040664</v>
      </c>
      <c r="L33" s="34">
        <f t="shared" ref="L33" ca="1" si="590">L32*B32</f>
        <v>35.426497988207522</v>
      </c>
      <c r="M33" s="34">
        <f t="shared" ref="M33" ca="1" si="591">M32*B32</f>
        <v>27.893844762376578</v>
      </c>
      <c r="N33" s="34">
        <f t="shared" ref="N33" ca="1" si="592">N32*B32</f>
        <v>25.780006487496081</v>
      </c>
      <c r="O33" s="34">
        <f t="shared" ref="O33" ca="1" si="593">O32*B32</f>
        <v>22.78703052028953</v>
      </c>
      <c r="P33" s="34">
        <f t="shared" ref="P33" ca="1" si="594">B32*P32</f>
        <v>19.524620325661566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 ht="24" customHeight="1" x14ac:dyDescent="0.15">
      <c r="A34" s="59">
        <v>43070</v>
      </c>
      <c r="B34" s="74">
        <f t="shared" ref="B34" ca="1" si="595">RANDBETWEEN(10,150)</f>
        <v>133</v>
      </c>
      <c r="C34" s="31">
        <f t="shared" ref="C34" ca="1" si="596">RAND()*0.2+0.6</f>
        <v>0.64889489043761861</v>
      </c>
      <c r="D34" s="31">
        <f t="shared" ref="D34:E34" ca="1" si="597">RAND()*0.1+0.5</f>
        <v>0.56281175834885788</v>
      </c>
      <c r="E34" s="31">
        <f t="shared" ca="1" si="597"/>
        <v>0.51555859734819887</v>
      </c>
      <c r="F34" s="31">
        <f t="shared" ref="F34" ca="1" si="598">RAND()*0.05+0.45</f>
        <v>0.49027551559426669</v>
      </c>
      <c r="G34" s="31">
        <f t="shared" ref="G34" ca="1" si="599">RAND()*0.05+0.4</f>
        <v>0.43931906310568014</v>
      </c>
      <c r="H34" s="31">
        <f t="shared" ref="H34" ca="1" si="600">RAND()*0.025+0.375</f>
        <v>0.38009617889660202</v>
      </c>
      <c r="I34" s="31">
        <f t="shared" ref="I34" ca="1" si="601">RAND()*0.02+0.35</f>
        <v>0.35564914172913081</v>
      </c>
      <c r="J34" s="31">
        <f t="shared" ref="J34" ca="1" si="602">RAND()*0.025+0.3</f>
        <v>0.30656012584321918</v>
      </c>
      <c r="K34" s="31">
        <f t="shared" ref="K34" ca="1" si="603">RAND()*0.01+0.29</f>
        <v>0.296761941267845</v>
      </c>
      <c r="L34" s="31">
        <f t="shared" ref="L34" ca="1" si="604">RAND()*0.01+0.28</f>
        <v>0.28740512420804187</v>
      </c>
      <c r="M34" s="31">
        <f t="shared" ref="M34" ca="1" si="605">RAND()*0.01+0.22</f>
        <v>0.22288052734215155</v>
      </c>
      <c r="N34" s="31">
        <f t="shared" ref="N34" ca="1" si="606">RAND()*0.02+0.2</f>
        <v>0.20793109607440885</v>
      </c>
      <c r="O34" s="31">
        <f t="shared" ref="O34" ca="1" si="607">RAND()*0.01+0.18</f>
        <v>0.18641213161937922</v>
      </c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</row>
    <row r="35" spans="1:31" ht="24" customHeight="1" x14ac:dyDescent="0.15">
      <c r="A35" s="60"/>
      <c r="B35" s="74"/>
      <c r="C35" s="32">
        <f t="shared" ref="C35" ca="1" si="608">C34*B34</f>
        <v>86.303020428203268</v>
      </c>
      <c r="D35" s="32">
        <f t="shared" ref="D35" ca="1" si="609">D34*B34</f>
        <v>74.853963860398096</v>
      </c>
      <c r="E35" s="32">
        <f t="shared" ref="E35" ca="1" si="610">E34*B34</f>
        <v>68.569293447310443</v>
      </c>
      <c r="F35" s="32">
        <f t="shared" ref="F35" ca="1" si="611">F34*B34</f>
        <v>65.206643574037471</v>
      </c>
      <c r="G35" s="32">
        <f t="shared" ref="G35" ca="1" si="612">G34*B34</f>
        <v>58.429435393055456</v>
      </c>
      <c r="H35" s="32">
        <f t="shared" ref="H35" ca="1" si="613">H34*B34</f>
        <v>50.552791793248069</v>
      </c>
      <c r="I35" s="33">
        <f t="shared" ref="I35" ca="1" si="614">I34*B34</f>
        <v>47.3013358499744</v>
      </c>
      <c r="J35" s="33">
        <f t="shared" ref="J35" ca="1" si="615">J34*B34</f>
        <v>40.772496737148153</v>
      </c>
      <c r="K35" s="34">
        <f t="shared" ref="K35" ca="1" si="616">K34*B34</f>
        <v>39.469338188623382</v>
      </c>
      <c r="L35" s="34">
        <f t="shared" ref="L35" ca="1" si="617">L34*B34</f>
        <v>38.224881519669566</v>
      </c>
      <c r="M35" s="34">
        <f t="shared" ref="M35" ca="1" si="618">M34*B34</f>
        <v>29.643110136506156</v>
      </c>
      <c r="N35" s="34">
        <f t="shared" ref="N35" ca="1" si="619">N34*B34</f>
        <v>27.654835777896377</v>
      </c>
      <c r="O35" s="34">
        <f t="shared" ref="O35" ca="1" si="620">O34*B34</f>
        <v>24.792813505377438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 ht="24" customHeight="1" x14ac:dyDescent="0.15">
      <c r="A36" s="59">
        <v>43071</v>
      </c>
      <c r="B36" s="74">
        <f t="shared" ref="B36" ca="1" si="621">RANDBETWEEN(10,150)</f>
        <v>137</v>
      </c>
      <c r="C36" s="31">
        <f t="shared" ref="C36" ca="1" si="622">RAND()*0.2+0.6</f>
        <v>0.73348796204596867</v>
      </c>
      <c r="D36" s="31">
        <f t="shared" ref="D36:E36" ca="1" si="623">RAND()*0.1+0.5</f>
        <v>0.51814925458729832</v>
      </c>
      <c r="E36" s="31">
        <f t="shared" ca="1" si="623"/>
        <v>0.56550126909163478</v>
      </c>
      <c r="F36" s="31">
        <f t="shared" ref="F36" ca="1" si="624">RAND()*0.05+0.45</f>
        <v>0.49627917140692412</v>
      </c>
      <c r="G36" s="31">
        <f t="shared" ref="G36" ca="1" si="625">RAND()*0.05+0.4</f>
        <v>0.4228166910286299</v>
      </c>
      <c r="H36" s="31">
        <f t="shared" ref="H36" ca="1" si="626">RAND()*0.025+0.375</f>
        <v>0.38099581660700393</v>
      </c>
      <c r="I36" s="31">
        <f t="shared" ref="I36" ca="1" si="627">RAND()*0.02+0.35</f>
        <v>0.35351663043672948</v>
      </c>
      <c r="J36" s="31">
        <f t="shared" ref="J36" ca="1" si="628">RAND()*0.025+0.3</f>
        <v>0.31545519296881946</v>
      </c>
      <c r="K36" s="31">
        <f t="shared" ref="K36" ca="1" si="629">RAND()*0.01+0.29</f>
        <v>0.29337453367201366</v>
      </c>
      <c r="L36" s="31">
        <f t="shared" ref="L36" ca="1" si="630">RAND()*0.01+0.28</f>
        <v>0.28545294500421264</v>
      </c>
      <c r="M36" s="31">
        <f t="shared" ref="M36" ca="1" si="631">RAND()*0.01+0.22</f>
        <v>0.22964296660413705</v>
      </c>
      <c r="N36" s="31">
        <f t="shared" ref="N36" ca="1" si="632">RAND()*0.02+0.2</f>
        <v>0.20271333690128063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24" customHeight="1" x14ac:dyDescent="0.15">
      <c r="A37" s="60"/>
      <c r="B37" s="74"/>
      <c r="C37" s="32">
        <f t="shared" ref="C37" ca="1" si="633">C36*B36</f>
        <v>100.48785080029771</v>
      </c>
      <c r="D37" s="32">
        <f t="shared" ref="D37" ca="1" si="634">D36*B36</f>
        <v>70.98644787845987</v>
      </c>
      <c r="E37" s="32">
        <f t="shared" ref="E37" ca="1" si="635">E36*B36</f>
        <v>77.473673865553963</v>
      </c>
      <c r="F37" s="32">
        <f t="shared" ref="F37" ca="1" si="636">F36*B36</f>
        <v>67.990246482748603</v>
      </c>
      <c r="G37" s="32">
        <f t="shared" ref="G37" ca="1" si="637">G36*B36</f>
        <v>57.925886670922296</v>
      </c>
      <c r="H37" s="32">
        <f t="shared" ref="H37" ca="1" si="638">H36*B36</f>
        <v>52.196426875159538</v>
      </c>
      <c r="I37" s="33">
        <f t="shared" ref="I37" ca="1" si="639">I36*B36</f>
        <v>48.431778369831939</v>
      </c>
      <c r="J37" s="33">
        <f t="shared" ref="J37" ca="1" si="640">J36*B36</f>
        <v>43.217361436728268</v>
      </c>
      <c r="K37" s="34">
        <f t="shared" ref="K37" ca="1" si="641">K36*B36</f>
        <v>40.19231111306587</v>
      </c>
      <c r="L37" s="34">
        <f t="shared" ref="L37" ca="1" si="642">L36*B36</f>
        <v>39.107053465577131</v>
      </c>
      <c r="M37" s="34">
        <f t="shared" ref="M37" ca="1" si="643">M36*B36</f>
        <v>31.461086424766776</v>
      </c>
      <c r="N37" s="34">
        <f t="shared" ref="N37" ca="1" si="644">N36*B36</f>
        <v>27.771727155475446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 ht="24" customHeight="1" x14ac:dyDescent="0.15">
      <c r="A38" s="59">
        <v>43072</v>
      </c>
      <c r="B38" s="74">
        <f t="shared" ref="B38" ca="1" si="645">RANDBETWEEN(10,150)</f>
        <v>50</v>
      </c>
      <c r="C38" s="31">
        <f t="shared" ref="C38" ca="1" si="646">RAND()*0.2+0.6</f>
        <v>0.67275952733998245</v>
      </c>
      <c r="D38" s="31">
        <f t="shared" ref="D38:E38" ca="1" si="647">RAND()*0.1+0.5</f>
        <v>0.52971342747266492</v>
      </c>
      <c r="E38" s="31">
        <f t="shared" ca="1" si="647"/>
        <v>0.5265475660814285</v>
      </c>
      <c r="F38" s="31">
        <f t="shared" ref="F38" ca="1" si="648">RAND()*0.05+0.45</f>
        <v>0.45587553688804761</v>
      </c>
      <c r="G38" s="31">
        <f t="shared" ref="G38" ca="1" si="649">RAND()*0.05+0.4</f>
        <v>0.44923545932360015</v>
      </c>
      <c r="H38" s="31">
        <f t="shared" ref="H38" ca="1" si="650">RAND()*0.025+0.375</f>
        <v>0.38260937836249609</v>
      </c>
      <c r="I38" s="31">
        <f t="shared" ref="I38" ca="1" si="651">RAND()*0.02+0.35</f>
        <v>0.35896677308911307</v>
      </c>
      <c r="J38" s="31">
        <f t="shared" ref="J38" ca="1" si="652">RAND()*0.025+0.3</f>
        <v>0.30358638410928623</v>
      </c>
      <c r="K38" s="31">
        <f t="shared" ref="K38" ca="1" si="653">RAND()*0.01+0.29</f>
        <v>0.29396562759396744</v>
      </c>
      <c r="L38" s="31">
        <f t="shared" ref="L38" ca="1" si="654">RAND()*0.01+0.28</f>
        <v>0.2844234509320992</v>
      </c>
      <c r="M38" s="31">
        <f t="shared" ref="M38" ca="1" si="655">RAND()*0.01+0.22</f>
        <v>0.2233729160050579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 ht="24" customHeight="1" x14ac:dyDescent="0.15">
      <c r="A39" s="60"/>
      <c r="B39" s="74"/>
      <c r="C39" s="32">
        <f t="shared" ref="C39" ca="1" si="656">C38*B38</f>
        <v>33.637976366999126</v>
      </c>
      <c r="D39" s="32">
        <f t="shared" ref="D39" ca="1" si="657">D38*B38</f>
        <v>26.485671373633245</v>
      </c>
      <c r="E39" s="32">
        <f t="shared" ref="E39" ca="1" si="658">E38*B38</f>
        <v>26.327378304071424</v>
      </c>
      <c r="F39" s="32">
        <f t="shared" ref="F39" ca="1" si="659">F38*B38</f>
        <v>22.79377684440238</v>
      </c>
      <c r="G39" s="32">
        <f t="shared" ref="G39" ca="1" si="660">G38*B38</f>
        <v>22.461772966180007</v>
      </c>
      <c r="H39" s="32">
        <f t="shared" ref="H39" ca="1" si="661">H38*B38</f>
        <v>19.130468918124805</v>
      </c>
      <c r="I39" s="33">
        <f t="shared" ref="I39" ca="1" si="662">I38*B38</f>
        <v>17.948338654455654</v>
      </c>
      <c r="J39" s="33">
        <f t="shared" ref="J39" ca="1" si="663">J38*B38</f>
        <v>15.179319205464312</v>
      </c>
      <c r="K39" s="34">
        <f t="shared" ref="K39" ca="1" si="664">K38*B38</f>
        <v>14.698281379698372</v>
      </c>
      <c r="L39" s="34">
        <f t="shared" ref="L39" ca="1" si="665">L38*B38</f>
        <v>14.22117254660496</v>
      </c>
      <c r="M39" s="34">
        <f t="shared" ref="M39" ca="1" si="666">M38*B38</f>
        <v>11.168645800252895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 ht="24" customHeight="1" x14ac:dyDescent="0.15">
      <c r="A40" s="59">
        <v>43073</v>
      </c>
      <c r="B40" s="74">
        <f t="shared" ref="B40" ca="1" si="667">RANDBETWEEN(10,150)</f>
        <v>70</v>
      </c>
      <c r="C40" s="31">
        <f t="shared" ref="C40" ca="1" si="668">RAND()*0.2+0.6</f>
        <v>0.70888937724825818</v>
      </c>
      <c r="D40" s="31">
        <f t="shared" ref="D40:E40" ca="1" si="669">RAND()*0.1+0.5</f>
        <v>0.51102620546061184</v>
      </c>
      <c r="E40" s="31">
        <f t="shared" ca="1" si="669"/>
        <v>0.56000392413573241</v>
      </c>
      <c r="F40" s="31">
        <f t="shared" ref="F40" ca="1" si="670">RAND()*0.05+0.45</f>
        <v>0.48656612192596893</v>
      </c>
      <c r="G40" s="31">
        <f t="shared" ref="G40" ca="1" si="671">RAND()*0.05+0.4</f>
        <v>0.40664665310159215</v>
      </c>
      <c r="H40" s="31">
        <f t="shared" ref="H40" ca="1" si="672">RAND()*0.025+0.375</f>
        <v>0.37997898698894522</v>
      </c>
      <c r="I40" s="31">
        <f t="shared" ref="I40" ca="1" si="673">RAND()*0.02+0.35</f>
        <v>0.36027471320981341</v>
      </c>
      <c r="J40" s="31">
        <f t="shared" ref="J40" ca="1" si="674">RAND()*0.025+0.3</f>
        <v>0.32483894502183114</v>
      </c>
      <c r="K40" s="31">
        <f t="shared" ref="K40" ca="1" si="675">RAND()*0.01+0.29</f>
        <v>0.29436775213574728</v>
      </c>
      <c r="L40" s="31">
        <f t="shared" ref="L40" ca="1" si="676">RAND()*0.01+0.28</f>
        <v>0.28658973145464767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 ht="24" customHeight="1" x14ac:dyDescent="0.15">
      <c r="A41" s="60"/>
      <c r="B41" s="74"/>
      <c r="C41" s="32">
        <f t="shared" ref="C41" ca="1" si="677">C40*B40</f>
        <v>49.622256407378075</v>
      </c>
      <c r="D41" s="32">
        <f t="shared" ref="D41" ca="1" si="678">D40*B40</f>
        <v>35.77183438224283</v>
      </c>
      <c r="E41" s="32">
        <f t="shared" ref="E41" ca="1" si="679">E40*B40</f>
        <v>39.200274689501271</v>
      </c>
      <c r="F41" s="32">
        <f t="shared" ref="F41" ca="1" si="680">F40*B40</f>
        <v>34.059628534817826</v>
      </c>
      <c r="G41" s="32">
        <f t="shared" ref="G41" ca="1" si="681">G40*B40</f>
        <v>28.46526571711145</v>
      </c>
      <c r="H41" s="32">
        <f t="shared" ref="H41" ca="1" si="682">H40*B40</f>
        <v>26.598529089226165</v>
      </c>
      <c r="I41" s="33">
        <f t="shared" ref="I41" ca="1" si="683">I40*B40</f>
        <v>25.219229924686939</v>
      </c>
      <c r="J41" s="33">
        <f t="shared" ref="J41" ca="1" si="684">J40*B40</f>
        <v>22.73872615152818</v>
      </c>
      <c r="K41" s="34">
        <f t="shared" ref="K41" ca="1" si="685">K40*B40</f>
        <v>20.605742649502311</v>
      </c>
      <c r="L41" s="34">
        <f t="shared" ref="L41" ca="1" si="686">L40*B40</f>
        <v>20.061281201825338</v>
      </c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ht="24" customHeight="1" x14ac:dyDescent="0.15">
      <c r="A42" s="59">
        <v>43074</v>
      </c>
      <c r="B42" s="74">
        <f t="shared" ref="B42" ca="1" si="687">RANDBETWEEN(10,150)</f>
        <v>61</v>
      </c>
      <c r="C42" s="31">
        <f t="shared" ref="C42" ca="1" si="688">RAND()*0.2+0.6</f>
        <v>0.69759929265752385</v>
      </c>
      <c r="D42" s="31">
        <f t="shared" ref="D42:E42" ca="1" si="689">RAND()*0.1+0.5</f>
        <v>0.57468568930767905</v>
      </c>
      <c r="E42" s="31">
        <f t="shared" ca="1" si="689"/>
        <v>0.5648979892747944</v>
      </c>
      <c r="F42" s="31">
        <f t="shared" ref="F42" ca="1" si="690">RAND()*0.05+0.45</f>
        <v>0.46767309593556039</v>
      </c>
      <c r="G42" s="31">
        <f t="shared" ref="G42" ca="1" si="691">RAND()*0.05+0.4</f>
        <v>0.40539390799686786</v>
      </c>
      <c r="H42" s="31">
        <f t="shared" ref="H42" ca="1" si="692">RAND()*0.025+0.375</f>
        <v>0.3972157730158668</v>
      </c>
      <c r="I42" s="31">
        <f t="shared" ref="I42" ca="1" si="693">RAND()*0.02+0.35</f>
        <v>0.36327242613155697</v>
      </c>
      <c r="J42" s="31">
        <f t="shared" ref="J42" ca="1" si="694">RAND()*0.025+0.3</f>
        <v>0.30039779486462148</v>
      </c>
      <c r="K42" s="31">
        <f t="shared" ref="K42" ca="1" si="695">RAND()*0.01+0.29</f>
        <v>0.29238784868201717</v>
      </c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24" customHeight="1" x14ac:dyDescent="0.15">
      <c r="A43" s="60"/>
      <c r="B43" s="74"/>
      <c r="C43" s="32">
        <f t="shared" ref="C43" ca="1" si="696">C42*B42</f>
        <v>42.553556852108954</v>
      </c>
      <c r="D43" s="32">
        <f t="shared" ref="D43" ca="1" si="697">D42*B42</f>
        <v>35.055827047768425</v>
      </c>
      <c r="E43" s="32">
        <f t="shared" ref="E43" ca="1" si="698">E42*B42</f>
        <v>34.458777345762456</v>
      </c>
      <c r="F43" s="32">
        <f t="shared" ref="F43" ca="1" si="699">F42*B42</f>
        <v>28.528058852069183</v>
      </c>
      <c r="G43" s="32">
        <f t="shared" ref="G43" ca="1" si="700">G42*B42</f>
        <v>24.729028387808938</v>
      </c>
      <c r="H43" s="32">
        <f t="shared" ref="H43" ca="1" si="701">H42*B42</f>
        <v>24.230162153967875</v>
      </c>
      <c r="I43" s="33">
        <f t="shared" ref="I43" ca="1" si="702">I42*B42</f>
        <v>22.159617994024977</v>
      </c>
      <c r="J43" s="33">
        <f t="shared" ref="J43" ca="1" si="703">J42*B42</f>
        <v>18.324265486741911</v>
      </c>
      <c r="K43" s="34">
        <f t="shared" ref="K43" ca="1" si="704">K42*B42</f>
        <v>17.835658769603047</v>
      </c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24" customHeight="1" x14ac:dyDescent="0.15">
      <c r="A44" s="59">
        <v>43075</v>
      </c>
      <c r="B44" s="74">
        <f t="shared" ref="B44" ca="1" si="705">RANDBETWEEN(10,150)</f>
        <v>72</v>
      </c>
      <c r="C44" s="31">
        <f t="shared" ref="C44" ca="1" si="706">RAND()*0.2+0.6</f>
        <v>0.60230777856918183</v>
      </c>
      <c r="D44" s="31">
        <f t="shared" ref="D44:E44" ca="1" si="707">RAND()*0.1+0.5</f>
        <v>0.55356201430201057</v>
      </c>
      <c r="E44" s="31">
        <f t="shared" ca="1" si="707"/>
        <v>0.57599660564147082</v>
      </c>
      <c r="F44" s="31">
        <f t="shared" ref="F44" ca="1" si="708">RAND()*0.05+0.45</f>
        <v>0.47949823967936306</v>
      </c>
      <c r="G44" s="31">
        <f t="shared" ref="G44" ca="1" si="709">RAND()*0.05+0.4</f>
        <v>0.44433650100619182</v>
      </c>
      <c r="H44" s="31">
        <f t="shared" ref="H44" ca="1" si="710">RAND()*0.025+0.375</f>
        <v>0.38246274212313658</v>
      </c>
      <c r="I44" s="31">
        <f t="shared" ref="I44" ca="1" si="711">RAND()*0.02+0.35</f>
        <v>0.36593828405968665</v>
      </c>
      <c r="J44" s="31">
        <f t="shared" ref="J44" ca="1" si="712">RAND()*0.025+0.3</f>
        <v>0.3098009118777757</v>
      </c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</row>
    <row r="45" spans="1:31" ht="24" customHeight="1" x14ac:dyDescent="0.15">
      <c r="A45" s="60"/>
      <c r="B45" s="74"/>
      <c r="C45" s="32">
        <f t="shared" ref="C45" ca="1" si="713">C44*B44</f>
        <v>43.366160056981094</v>
      </c>
      <c r="D45" s="32">
        <f t="shared" ref="D45" ca="1" si="714">D44*B44</f>
        <v>39.856465029744761</v>
      </c>
      <c r="E45" s="32">
        <f t="shared" ref="E45" ca="1" si="715">E44*B44</f>
        <v>41.471755606185901</v>
      </c>
      <c r="F45" s="32">
        <f t="shared" ref="F45" ca="1" si="716">F44*B44</f>
        <v>34.523873256914143</v>
      </c>
      <c r="G45" s="32">
        <f t="shared" ref="G45" ca="1" si="717">G44*B44</f>
        <v>31.992228072445812</v>
      </c>
      <c r="H45" s="32">
        <f t="shared" ref="H45" ca="1" si="718">H44*B44</f>
        <v>27.537317432865834</v>
      </c>
      <c r="I45" s="33">
        <f t="shared" ref="I45" ca="1" si="719">I44*B44</f>
        <v>26.347556452297439</v>
      </c>
      <c r="J45" s="33">
        <f t="shared" ref="J45" ca="1" si="720">J44*B44</f>
        <v>22.305665655199849</v>
      </c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 ht="24" customHeight="1" x14ac:dyDescent="0.15">
      <c r="A46" s="59">
        <v>43076</v>
      </c>
      <c r="B46" s="74">
        <f t="shared" ref="B46" ca="1" si="721">RANDBETWEEN(10,150)</f>
        <v>55</v>
      </c>
      <c r="C46" s="31">
        <f t="shared" ref="C46" ca="1" si="722">RAND()*0.2+0.6</f>
        <v>0.6082054686540197</v>
      </c>
      <c r="D46" s="31">
        <f t="shared" ref="D46:E46" ca="1" si="723">RAND()*0.1+0.5</f>
        <v>0.54843987418609574</v>
      </c>
      <c r="E46" s="31">
        <f t="shared" ca="1" si="723"/>
        <v>0.53882518852123074</v>
      </c>
      <c r="F46" s="31">
        <f t="shared" ref="F46" ca="1" si="724">RAND()*0.05+0.45</f>
        <v>0.45054447205748643</v>
      </c>
      <c r="G46" s="31">
        <f t="shared" ref="G46" ca="1" si="725">RAND()*0.05+0.4</f>
        <v>0.40557077204185477</v>
      </c>
      <c r="H46" s="31">
        <f t="shared" ref="H46" ca="1" si="726">RAND()*0.025+0.375</f>
        <v>0.39527073187855377</v>
      </c>
      <c r="I46" s="31">
        <f t="shared" ref="I46" ca="1" si="727">RAND()*0.02+0.35</f>
        <v>0.36016474411325106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 ht="24" customHeight="1" x14ac:dyDescent="0.15">
      <c r="A47" s="60"/>
      <c r="B47" s="74"/>
      <c r="C47" s="32">
        <f t="shared" ref="C47" ca="1" si="728">C46*B46</f>
        <v>33.451300775971085</v>
      </c>
      <c r="D47" s="32">
        <f t="shared" ref="D47" ca="1" si="729">D46*B46</f>
        <v>30.164193080235265</v>
      </c>
      <c r="E47" s="32">
        <f t="shared" ref="E47" ca="1" si="730">E46*B46</f>
        <v>29.635385368667691</v>
      </c>
      <c r="F47" s="32">
        <f t="shared" ref="F47" ca="1" si="731">F46*B46</f>
        <v>24.779945963161754</v>
      </c>
      <c r="G47" s="32">
        <f t="shared" ref="G47" ca="1" si="732">G46*B46</f>
        <v>22.306392462302011</v>
      </c>
      <c r="H47" s="32">
        <f t="shared" ref="H47" ca="1" si="733">H46*B46</f>
        <v>21.739890253320457</v>
      </c>
      <c r="I47" s="33">
        <f t="shared" ref="I47" ca="1" si="734">I46*B46</f>
        <v>19.80906092622881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</row>
    <row r="48" spans="1:31" ht="24" customHeight="1" x14ac:dyDescent="0.15">
      <c r="A48" s="59">
        <v>43077</v>
      </c>
      <c r="B48" s="74">
        <f t="shared" ref="B48" ca="1" si="735">RANDBETWEEN(10,150)</f>
        <v>61</v>
      </c>
      <c r="C48" s="31">
        <f t="shared" ref="C48" ca="1" si="736">RAND()*0.2+0.6</f>
        <v>0.65885106157067963</v>
      </c>
      <c r="D48" s="31">
        <f t="shared" ref="D48:E48" ca="1" si="737">RAND()*0.1+0.5</f>
        <v>0.52730726769655512</v>
      </c>
      <c r="E48" s="31">
        <f t="shared" ca="1" si="737"/>
        <v>0.5394779531826891</v>
      </c>
      <c r="F48" s="31">
        <f t="shared" ref="F48" ca="1" si="738">RAND()*0.05+0.45</f>
        <v>0.49357734188712504</v>
      </c>
      <c r="G48" s="31">
        <f t="shared" ref="G48" ca="1" si="739">RAND()*0.05+0.4</f>
        <v>0.43967471319887319</v>
      </c>
      <c r="H48" s="31">
        <f t="shared" ref="H48" ca="1" si="740">RAND()*0.025+0.375</f>
        <v>0.3840933100347641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</row>
    <row r="49" spans="1:31" ht="24" customHeight="1" x14ac:dyDescent="0.15">
      <c r="A49" s="60"/>
      <c r="B49" s="74"/>
      <c r="C49" s="32">
        <f t="shared" ref="C49" ca="1" si="741">C48*B48</f>
        <v>40.189914755811458</v>
      </c>
      <c r="D49" s="32">
        <f t="shared" ref="D49" ca="1" si="742">D48*B48</f>
        <v>32.165743329489864</v>
      </c>
      <c r="E49" s="32">
        <f t="shared" ref="E49" ca="1" si="743">E48*B48</f>
        <v>32.908155144144033</v>
      </c>
      <c r="F49" s="32">
        <f t="shared" ref="F49" ca="1" si="744">F48*B48</f>
        <v>30.108217855114628</v>
      </c>
      <c r="G49" s="32">
        <f t="shared" ref="G49" ca="1" si="745">G48*B48</f>
        <v>26.820157505131263</v>
      </c>
      <c r="H49" s="32">
        <f t="shared" ref="H49" ca="1" si="746">H48*B48</f>
        <v>23.42969191212061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</row>
    <row r="50" spans="1:31" ht="24" customHeight="1" x14ac:dyDescent="0.15">
      <c r="A50" s="59">
        <v>43078</v>
      </c>
      <c r="B50" s="74">
        <f t="shared" ref="B50" ca="1" si="747">RANDBETWEEN(10,150)</f>
        <v>44</v>
      </c>
      <c r="C50" s="31">
        <f t="shared" ref="C50" ca="1" si="748">RAND()*0.2+0.6</f>
        <v>0.75117089156989503</v>
      </c>
      <c r="D50" s="31">
        <f t="shared" ref="D50:E50" ca="1" si="749">RAND()*0.1+0.5</f>
        <v>0.56636692827458401</v>
      </c>
      <c r="E50" s="31">
        <f t="shared" ca="1" si="749"/>
        <v>0.52840822733379966</v>
      </c>
      <c r="F50" s="31">
        <f t="shared" ref="F50" ca="1" si="750">RAND()*0.05+0.45</f>
        <v>0.47480024321257114</v>
      </c>
      <c r="G50" s="31">
        <f t="shared" ref="G50" ca="1" si="751">RAND()*0.05+0.4</f>
        <v>0.4448568359435805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</row>
    <row r="51" spans="1:31" ht="24" customHeight="1" x14ac:dyDescent="0.15">
      <c r="A51" s="60"/>
      <c r="B51" s="74"/>
      <c r="C51" s="32">
        <f t="shared" ref="C51" ca="1" si="752">C50*B50</f>
        <v>33.051519229075382</v>
      </c>
      <c r="D51" s="32">
        <f t="shared" ref="D51" ca="1" si="753">D50*B50</f>
        <v>24.920144844081697</v>
      </c>
      <c r="E51" s="32">
        <f t="shared" ref="E51" ca="1" si="754">E50*B50</f>
        <v>23.249962002687184</v>
      </c>
      <c r="F51" s="32">
        <f t="shared" ref="F51" ca="1" si="755">F50*B50</f>
        <v>20.891210701353131</v>
      </c>
      <c r="G51" s="32">
        <f t="shared" ref="G51" ca="1" si="756">G50*B50</f>
        <v>19.573700781517541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ht="24" customHeight="1" x14ac:dyDescent="0.15">
      <c r="A52" s="59">
        <v>43079</v>
      </c>
      <c r="B52" s="74">
        <f t="shared" ref="B52" ca="1" si="757">RANDBETWEEN(10,150)</f>
        <v>77</v>
      </c>
      <c r="C52" s="31">
        <f t="shared" ref="C52" ca="1" si="758">RAND()*0.2+0.6</f>
        <v>0.78102184897843741</v>
      </c>
      <c r="D52" s="31">
        <f t="shared" ref="D52:E52" ca="1" si="759">RAND()*0.1+0.5</f>
        <v>0.54971962637577465</v>
      </c>
      <c r="E52" s="31">
        <f t="shared" ca="1" si="759"/>
        <v>0.51724725184930564</v>
      </c>
      <c r="F52" s="31">
        <f t="shared" ref="F52" ca="1" si="760">RAND()*0.05+0.45</f>
        <v>0.47398693680303938</v>
      </c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 ht="24" customHeight="1" x14ac:dyDescent="0.15">
      <c r="A53" s="60"/>
      <c r="B53" s="74"/>
      <c r="C53" s="32">
        <f t="shared" ref="C53" ca="1" si="761">C52*B52</f>
        <v>60.138682371339684</v>
      </c>
      <c r="D53" s="32">
        <f t="shared" ref="D53" ca="1" si="762">D52*B52</f>
        <v>42.328411230934648</v>
      </c>
      <c r="E53" s="32">
        <f t="shared" ref="E53" ca="1" si="763">E52*B52</f>
        <v>39.828038392396536</v>
      </c>
      <c r="F53" s="32">
        <f t="shared" ref="F53" ca="1" si="764">F52*B52</f>
        <v>36.496994133834029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</row>
    <row r="54" spans="1:31" ht="24" customHeight="1" x14ac:dyDescent="0.15">
      <c r="A54" s="59">
        <v>43080</v>
      </c>
      <c r="B54" s="74">
        <f t="shared" ref="B54" ca="1" si="765">RANDBETWEEN(10,150)</f>
        <v>84</v>
      </c>
      <c r="C54" s="31">
        <f t="shared" ref="C54" ca="1" si="766">RAND()*0.2+0.6</f>
        <v>0.73971577285621581</v>
      </c>
      <c r="D54" s="31">
        <f t="shared" ref="D54:E54" ca="1" si="767">RAND()*0.1+0.5</f>
        <v>0.54108083209504609</v>
      </c>
      <c r="E54" s="31">
        <f t="shared" ca="1" si="767"/>
        <v>0.57931560536953519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</row>
    <row r="55" spans="1:31" ht="24" customHeight="1" x14ac:dyDescent="0.15">
      <c r="A55" s="60"/>
      <c r="B55" s="74"/>
      <c r="C55" s="32">
        <f t="shared" ref="C55" ca="1" si="768">C54*B54</f>
        <v>62.136124919922125</v>
      </c>
      <c r="D55" s="32">
        <f t="shared" ref="D55" ca="1" si="769">D54*B54</f>
        <v>45.450789895983874</v>
      </c>
      <c r="E55" s="32">
        <f t="shared" ref="E55" ca="1" si="770">E54*B54</f>
        <v>48.662510851040956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 ht="24" customHeight="1" x14ac:dyDescent="0.15">
      <c r="A56" s="59">
        <v>43081</v>
      </c>
      <c r="B56" s="74">
        <f t="shared" ref="B56" ca="1" si="771">RANDBETWEEN(10,150)</f>
        <v>21</v>
      </c>
      <c r="C56" s="31">
        <f t="shared" ref="C56" ca="1" si="772">RAND()*0.2+0.6</f>
        <v>0.73871724012162132</v>
      </c>
      <c r="D56" s="31">
        <f t="shared" ref="D56" ca="1" si="773">RAND()*0.1+0.5</f>
        <v>0.54168477108231994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</row>
    <row r="57" spans="1:31" ht="24" customHeight="1" x14ac:dyDescent="0.15">
      <c r="A57" s="60"/>
      <c r="B57" s="74"/>
      <c r="C57" s="32">
        <f t="shared" ref="C57" ca="1" si="774">C56*B56</f>
        <v>15.513062042554047</v>
      </c>
      <c r="D57" s="32">
        <f t="shared" ref="D57" ca="1" si="775">D56*B56</f>
        <v>11.375380192728718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spans="1:31" ht="24" customHeight="1" x14ac:dyDescent="0.15">
      <c r="A58" s="59">
        <v>43082</v>
      </c>
      <c r="B58" s="74">
        <f t="shared" ref="B58" ca="1" si="776">RANDBETWEEN(10,150)</f>
        <v>133</v>
      </c>
      <c r="C58" s="31">
        <f t="shared" ref="C58" ca="1" si="777">RAND()*0.2+0.6</f>
        <v>0.61687047117701999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</row>
    <row r="59" spans="1:31" ht="24" customHeight="1" x14ac:dyDescent="0.15">
      <c r="A59" s="60"/>
      <c r="B59" s="74"/>
      <c r="C59" s="32">
        <f t="shared" ref="C59" ca="1" si="778">C58*B58</f>
        <v>82.04377266654366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</row>
    <row r="60" spans="1:31" ht="24" customHeight="1" x14ac:dyDescent="0.15">
      <c r="A60" s="59">
        <v>43083</v>
      </c>
      <c r="B60" s="74">
        <f t="shared" ref="B60" ca="1" si="779">RANDBETWEEN(10,150)</f>
        <v>21</v>
      </c>
      <c r="C60" s="31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</row>
    <row r="61" spans="1:31" ht="24" customHeight="1" x14ac:dyDescent="0.15">
      <c r="A61" s="60"/>
      <c r="B61" s="74"/>
      <c r="C61" s="32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</row>
  </sheetData>
  <mergeCells count="60">
    <mergeCell ref="A56:A57"/>
    <mergeCell ref="B56:B57"/>
    <mergeCell ref="A58:A59"/>
    <mergeCell ref="B58:B59"/>
    <mergeCell ref="A60:A61"/>
    <mergeCell ref="B60:B61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selection activeCell="F3" sqref="F3"/>
    </sheetView>
  </sheetViews>
  <sheetFormatPr defaultRowHeight="13.5" x14ac:dyDescent="0.15"/>
  <cols>
    <col min="1" max="1" width="11.625" bestFit="1" customWidth="1"/>
    <col min="2" max="2" width="10.5" bestFit="1" customWidth="1"/>
    <col min="3" max="3" width="10.5" customWidth="1"/>
    <col min="4" max="4" width="10.5" bestFit="1" customWidth="1"/>
    <col min="5" max="5" width="11.875" customWidth="1"/>
    <col min="6" max="6" width="11.5" bestFit="1" customWidth="1"/>
    <col min="7" max="7" width="11.5" customWidth="1"/>
    <col min="8" max="8" width="9.375" customWidth="1"/>
    <col min="9" max="9" width="10.625" customWidth="1"/>
    <col min="11" max="11" width="11.625" customWidth="1"/>
  </cols>
  <sheetData>
    <row r="1" spans="1:23" s="3" customFormat="1" x14ac:dyDescent="0.15">
      <c r="A1" s="62" t="s">
        <v>51</v>
      </c>
      <c r="B1" s="62" t="s">
        <v>218</v>
      </c>
      <c r="C1" s="62"/>
      <c r="D1" s="62" t="s">
        <v>12</v>
      </c>
      <c r="E1" s="62"/>
      <c r="F1" s="62" t="s">
        <v>14</v>
      </c>
      <c r="G1" s="62"/>
      <c r="H1" s="62" t="s">
        <v>15</v>
      </c>
      <c r="I1" s="62"/>
      <c r="J1" s="62" t="s">
        <v>16</v>
      </c>
      <c r="K1" s="62"/>
      <c r="L1" s="62" t="s">
        <v>17</v>
      </c>
      <c r="M1" s="62"/>
      <c r="N1" s="62" t="s">
        <v>18</v>
      </c>
      <c r="O1" s="62"/>
      <c r="P1" s="62" t="s">
        <v>224</v>
      </c>
      <c r="Q1" s="62"/>
      <c r="R1" s="62" t="s">
        <v>263</v>
      </c>
      <c r="S1" s="62"/>
      <c r="T1" s="62" t="s">
        <v>225</v>
      </c>
      <c r="U1" s="62"/>
      <c r="V1" s="62" t="s">
        <v>255</v>
      </c>
      <c r="W1" s="62"/>
    </row>
    <row r="2" spans="1:23" s="3" customFormat="1" x14ac:dyDescent="0.15">
      <c r="A2" s="62"/>
      <c r="B2" s="3" t="s">
        <v>217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  <c r="H2" s="3" t="s">
        <v>220</v>
      </c>
      <c r="I2" s="3" t="s">
        <v>221</v>
      </c>
      <c r="J2" s="3" t="s">
        <v>222</v>
      </c>
      <c r="K2" s="3" t="s">
        <v>223</v>
      </c>
      <c r="L2" s="3" t="s">
        <v>222</v>
      </c>
      <c r="M2" s="3" t="s">
        <v>223</v>
      </c>
      <c r="N2" s="3" t="s">
        <v>220</v>
      </c>
      <c r="O2" s="3" t="s">
        <v>221</v>
      </c>
      <c r="P2" s="3" t="s">
        <v>222</v>
      </c>
      <c r="Q2" s="3" t="s">
        <v>223</v>
      </c>
      <c r="R2" s="3" t="s">
        <v>222</v>
      </c>
      <c r="S2" s="3" t="s">
        <v>223</v>
      </c>
      <c r="T2" s="3" t="s">
        <v>222</v>
      </c>
      <c r="U2" s="3" t="s">
        <v>223</v>
      </c>
      <c r="V2" s="3" t="s">
        <v>222</v>
      </c>
      <c r="W2" s="3" t="s">
        <v>223</v>
      </c>
    </row>
    <row r="3" spans="1:23" s="50" customFormat="1" x14ac:dyDescent="0.15">
      <c r="A3" s="64">
        <v>43070</v>
      </c>
      <c r="B3" s="54">
        <f ca="1">RANDBETWEEN(300,500)</f>
        <v>485</v>
      </c>
      <c r="C3" s="53">
        <f ca="1">RAND()*200+500</f>
        <v>550.86127874116403</v>
      </c>
      <c r="D3" s="51">
        <f ca="1">(RAND()*0.2+0.4)*B3</f>
        <v>282.7655183366669</v>
      </c>
      <c r="E3" s="52">
        <f ca="1">(RAND()*9+1)*D3</f>
        <v>838.5717796595344</v>
      </c>
      <c r="F3" s="51">
        <f ca="1">(RAND()*0.1+0.4)*B3</f>
        <v>226.34824899704265</v>
      </c>
      <c r="G3" s="52">
        <f ca="1">(RAND()*9+1)*F3</f>
        <v>1446.4391579428054</v>
      </c>
      <c r="H3" s="51">
        <f ca="1">(RAND()*0.1+0.35)*B3</f>
        <v>194.92670742423874</v>
      </c>
      <c r="I3" s="52">
        <f ca="1">(RAND()*9+1)*H3</f>
        <v>1193.7518154784561</v>
      </c>
      <c r="J3" s="51">
        <f ca="1">(RAND()*0.1+0.2)*B3</f>
        <v>133.94427636210577</v>
      </c>
      <c r="K3" s="52">
        <f ca="1">(RAND()*9+1)*J3</f>
        <v>1119.8778917900727</v>
      </c>
      <c r="L3" s="51">
        <f ca="1">(RAND()*0.1+0.15)*B3</f>
        <v>93.155705465581832</v>
      </c>
      <c r="M3" s="52">
        <f ca="1">(RAND()*9+1)*L3</f>
        <v>216.63663803934568</v>
      </c>
      <c r="N3" s="51">
        <f ca="1">(RAND()*0.05+0.1)*B3</f>
        <v>54.546979995944987</v>
      </c>
      <c r="O3" s="52">
        <f ca="1">(RAND()*9+1)*N3</f>
        <v>361.8791156119625</v>
      </c>
    </row>
    <row r="4" spans="1:23" x14ac:dyDescent="0.15">
      <c r="A4" s="64"/>
      <c r="B4" s="66">
        <v>1</v>
      </c>
      <c r="C4" s="67"/>
      <c r="D4" s="63">
        <f ca="1">D3/B3</f>
        <v>0.58302168729209669</v>
      </c>
      <c r="E4" s="63"/>
      <c r="F4" s="65">
        <f ca="1">F3/B3</f>
        <v>0.46669742061245906</v>
      </c>
      <c r="G4" s="65"/>
      <c r="H4" s="63">
        <f ca="1">H3/B3</f>
        <v>0.40191073695719326</v>
      </c>
      <c r="I4" s="63"/>
      <c r="J4" s="63">
        <f ca="1">J3/B3</f>
        <v>0.27617376569506347</v>
      </c>
      <c r="K4" s="63"/>
      <c r="L4" s="63">
        <f ca="1">L3/B3</f>
        <v>0.19207361951666357</v>
      </c>
      <c r="M4" s="63"/>
      <c r="N4" s="63">
        <f ca="1">N3/B3</f>
        <v>0.11246799999163914</v>
      </c>
      <c r="O4" s="63"/>
    </row>
    <row r="5" spans="1:23" x14ac:dyDescent="0.15">
      <c r="A5" s="64">
        <v>43071</v>
      </c>
      <c r="B5" s="54">
        <f t="shared" ref="B5" ca="1" si="0">RANDBETWEEN(300,500)</f>
        <v>410</v>
      </c>
      <c r="C5" s="53">
        <f t="shared" ref="C5" ca="1" si="1">RAND()*200+500</f>
        <v>651.85849898709148</v>
      </c>
      <c r="D5" s="51">
        <f t="shared" ref="D5" ca="1" si="2">(RAND()*0.2+0.4)*B5</f>
        <v>241.77272896541106</v>
      </c>
      <c r="E5" s="52">
        <f t="shared" ref="E5" ca="1" si="3">(RAND()*9+1)*D5</f>
        <v>705.66700123927069</v>
      </c>
      <c r="F5" s="51">
        <f t="shared" ref="F5" ca="1" si="4">(RAND()*0.1+0.4)*B5</f>
        <v>166.21005850746431</v>
      </c>
      <c r="G5" s="52">
        <f t="shared" ref="G5" ca="1" si="5">(RAND()*9+1)*F5</f>
        <v>755.49706726783631</v>
      </c>
      <c r="H5" s="51">
        <f t="shared" ref="H5" ca="1" si="6">(RAND()*0.1+0.35)*B5</f>
        <v>181.28148191888548</v>
      </c>
      <c r="I5" s="52">
        <f t="shared" ref="I5" ca="1" si="7">(RAND()*9+1)*H5</f>
        <v>1332.8154644971228</v>
      </c>
      <c r="J5" s="51">
        <f t="shared" ref="J5" ca="1" si="8">(RAND()*0.1+0.2)*B5</f>
        <v>97.471432693834899</v>
      </c>
      <c r="K5" s="52">
        <f t="shared" ref="K5" ca="1" si="9">(RAND()*9+1)*J5</f>
        <v>203.65542248962919</v>
      </c>
      <c r="L5" s="51">
        <f ca="1">(RAND()*0.1+0.15)*B5</f>
        <v>101.90128338583995</v>
      </c>
      <c r="M5" s="52">
        <f ca="1">(RAND()*9+1)*L5</f>
        <v>461.22420453654451</v>
      </c>
    </row>
    <row r="6" spans="1:23" x14ac:dyDescent="0.15">
      <c r="A6" s="64"/>
      <c r="B6" s="66">
        <v>1</v>
      </c>
      <c r="C6" s="67"/>
      <c r="D6" s="63">
        <f t="shared" ref="D6" ca="1" si="10">D5/B5</f>
        <v>0.58968958284246598</v>
      </c>
      <c r="E6" s="63"/>
      <c r="F6" s="65">
        <f t="shared" ref="F6" ca="1" si="11">F5/B5</f>
        <v>0.40539038660357146</v>
      </c>
      <c r="G6" s="65"/>
      <c r="H6" s="63">
        <f t="shared" ref="H6" ca="1" si="12">H5/B5</f>
        <v>0.44214995589972067</v>
      </c>
      <c r="I6" s="63"/>
      <c r="J6" s="63">
        <f t="shared" ref="J6" ca="1" si="13">J5/B5</f>
        <v>0.23773520169228024</v>
      </c>
      <c r="K6" s="63"/>
      <c r="L6" s="63">
        <f ca="1">L5/B5</f>
        <v>0.24853971557521939</v>
      </c>
      <c r="M6" s="63"/>
    </row>
    <row r="7" spans="1:23" x14ac:dyDescent="0.15">
      <c r="A7" s="64">
        <v>43072</v>
      </c>
      <c r="B7" s="54">
        <f t="shared" ref="B7" ca="1" si="14">RANDBETWEEN(300,500)</f>
        <v>418</v>
      </c>
      <c r="C7" s="53">
        <f t="shared" ref="C7" ca="1" si="15">RAND()*200+500</f>
        <v>693.49231871238817</v>
      </c>
      <c r="D7" s="51">
        <f t="shared" ref="D7" ca="1" si="16">(RAND()*0.2+0.4)*B7</f>
        <v>240.13818942965068</v>
      </c>
      <c r="E7" s="52">
        <f t="shared" ref="E7" ca="1" si="17">(RAND()*9+1)*D7</f>
        <v>330.67516407306874</v>
      </c>
      <c r="F7" s="51">
        <f t="shared" ref="F7" ca="1" si="18">(RAND()*0.1+0.4)*B7</f>
        <v>178.4659390866131</v>
      </c>
      <c r="G7" s="52">
        <f t="shared" ref="G7" ca="1" si="19">(RAND()*9+1)*F7</f>
        <v>1625.2142977281615</v>
      </c>
      <c r="H7" s="51">
        <f t="shared" ref="H7" ca="1" si="20">(RAND()*0.1+0.35)*B7</f>
        <v>147.64033046967856</v>
      </c>
      <c r="I7" s="52">
        <f t="shared" ref="I7" ca="1" si="21">(RAND()*9+1)*H7</f>
        <v>1344.8231877760231</v>
      </c>
      <c r="J7" s="51">
        <f t="shared" ref="J7" ca="1" si="22">(RAND()*0.1+0.2)*B7</f>
        <v>103.35345618415471</v>
      </c>
      <c r="K7" s="52">
        <f t="shared" ref="K7" ca="1" si="23">(RAND()*9+1)*J7</f>
        <v>454.15576649214125</v>
      </c>
    </row>
    <row r="8" spans="1:23" x14ac:dyDescent="0.15">
      <c r="A8" s="64"/>
      <c r="B8" s="66">
        <v>1</v>
      </c>
      <c r="C8" s="67"/>
      <c r="D8" s="63">
        <f t="shared" ref="D8" ca="1" si="24">D7/B7</f>
        <v>0.57449327614748968</v>
      </c>
      <c r="E8" s="63"/>
      <c r="F8" s="65">
        <f t="shared" ref="F8" ca="1" si="25">F7/B7</f>
        <v>0.42695200738424188</v>
      </c>
      <c r="G8" s="65"/>
      <c r="H8" s="63">
        <f t="shared" ref="H8" ca="1" si="26">H7/B7</f>
        <v>0.35320653222411141</v>
      </c>
      <c r="I8" s="63"/>
      <c r="J8" s="63">
        <f t="shared" ref="J8" ca="1" si="27">J7/B7</f>
        <v>0.24725707221089643</v>
      </c>
      <c r="K8" s="63"/>
    </row>
    <row r="9" spans="1:23" x14ac:dyDescent="0.15">
      <c r="A9" s="64">
        <v>43073</v>
      </c>
      <c r="B9" s="54">
        <f t="shared" ref="B9" ca="1" si="28">RANDBETWEEN(300,500)</f>
        <v>455</v>
      </c>
      <c r="C9" s="53">
        <f t="shared" ref="C9" ca="1" si="29">RAND()*200+500</f>
        <v>594.91373801329564</v>
      </c>
      <c r="D9" s="51">
        <f t="shared" ref="D9" ca="1" si="30">(RAND()*0.2+0.4)*B9</f>
        <v>188.96426734483791</v>
      </c>
      <c r="E9" s="52">
        <f t="shared" ref="E9" ca="1" si="31">(RAND()*9+1)*D9</f>
        <v>1579.7105115557638</v>
      </c>
      <c r="F9" s="51">
        <f t="shared" ref="F9" ca="1" si="32">(RAND()*0.1+0.4)*B9</f>
        <v>222.43918101312573</v>
      </c>
      <c r="G9" s="52">
        <f t="shared" ref="G9" ca="1" si="33">(RAND()*9+1)*F9</f>
        <v>643.1061988048674</v>
      </c>
      <c r="H9" s="51">
        <f t="shared" ref="H9" ca="1" si="34">(RAND()*0.1+0.35)*B9</f>
        <v>203.88363475138851</v>
      </c>
      <c r="I9" s="52">
        <f t="shared" ref="I9" ca="1" si="35">(RAND()*9+1)*H9</f>
        <v>473.79865331310276</v>
      </c>
      <c r="J9" s="2"/>
      <c r="K9" s="2"/>
    </row>
    <row r="10" spans="1:23" x14ac:dyDescent="0.15">
      <c r="A10" s="64"/>
      <c r="B10" s="66">
        <v>1</v>
      </c>
      <c r="C10" s="67"/>
      <c r="D10" s="63">
        <f t="shared" ref="D10" ca="1" si="36">D9/B9</f>
        <v>0.41530608207656683</v>
      </c>
      <c r="E10" s="63"/>
      <c r="F10" s="65">
        <f t="shared" ref="F10" ca="1" si="37">F9/B9</f>
        <v>0.48887732090796865</v>
      </c>
      <c r="G10" s="65"/>
      <c r="H10" s="63">
        <f t="shared" ref="H10" ca="1" si="38">H9/B9</f>
        <v>0.4480959005525022</v>
      </c>
      <c r="I10" s="63"/>
      <c r="J10" s="2"/>
      <c r="K10" s="2"/>
    </row>
    <row r="11" spans="1:23" x14ac:dyDescent="0.15">
      <c r="A11" s="64">
        <v>43074</v>
      </c>
      <c r="B11" s="54">
        <f t="shared" ref="B11" ca="1" si="39">RANDBETWEEN(300,500)</f>
        <v>379</v>
      </c>
      <c r="C11" s="53">
        <f t="shared" ref="C11" ca="1" si="40">RAND()*200+500</f>
        <v>621.93555702955484</v>
      </c>
      <c r="D11" s="51">
        <f t="shared" ref="D11" ca="1" si="41">(RAND()*0.2+0.4)*B11</f>
        <v>198.87978976051204</v>
      </c>
      <c r="E11" s="52">
        <f t="shared" ref="E11" ca="1" si="42">(RAND()*9+1)*D11</f>
        <v>1166.3704734920968</v>
      </c>
      <c r="F11" s="51">
        <f t="shared" ref="F11" ca="1" si="43">(RAND()*0.1+0.4)*B11</f>
        <v>182.65210964457302</v>
      </c>
      <c r="G11" s="52">
        <f t="shared" ref="G11" ca="1" si="44">(RAND()*9+1)*F11</f>
        <v>527.69458943322468</v>
      </c>
      <c r="H11" s="2"/>
      <c r="I11" s="2"/>
      <c r="J11" s="2"/>
      <c r="K11" s="2"/>
    </row>
    <row r="12" spans="1:23" x14ac:dyDescent="0.15">
      <c r="A12" s="64"/>
      <c r="B12" s="66">
        <v>1</v>
      </c>
      <c r="C12" s="67"/>
      <c r="D12" s="63">
        <f t="shared" ref="D12" ca="1" si="45">D11/B11</f>
        <v>0.52474878564778904</v>
      </c>
      <c r="E12" s="63"/>
      <c r="F12" s="65">
        <f t="shared" ref="F12" ca="1" si="46">F11/B11</f>
        <v>0.48193168771655148</v>
      </c>
      <c r="G12" s="65"/>
      <c r="H12" s="2"/>
      <c r="I12" s="2"/>
      <c r="J12" s="2"/>
      <c r="K12" s="2"/>
    </row>
    <row r="13" spans="1:23" x14ac:dyDescent="0.15">
      <c r="A13" s="64">
        <v>43075</v>
      </c>
      <c r="B13" s="54">
        <f t="shared" ref="B13:B15" ca="1" si="47">RANDBETWEEN(300,500)</f>
        <v>340</v>
      </c>
      <c r="C13" s="53">
        <f t="shared" ref="C13:C15" ca="1" si="48">RAND()*200+500</f>
        <v>616.368141476608</v>
      </c>
      <c r="D13" s="51">
        <f t="shared" ref="D13" ca="1" si="49">(RAND()*0.2+0.4)*B13</f>
        <v>149.30561500109144</v>
      </c>
      <c r="E13" s="52">
        <f t="shared" ref="E13" ca="1" si="50">(RAND()*9+1)*D13</f>
        <v>921.72078894023252</v>
      </c>
      <c r="F13" s="51"/>
      <c r="G13" s="52"/>
      <c r="H13" s="2"/>
      <c r="I13" s="2"/>
      <c r="J13" s="2"/>
      <c r="K13" s="2"/>
    </row>
    <row r="14" spans="1:23" x14ac:dyDescent="0.15">
      <c r="A14" s="64"/>
      <c r="B14" s="66">
        <v>1</v>
      </c>
      <c r="C14" s="67"/>
      <c r="D14" s="63">
        <f t="shared" ref="D14" ca="1" si="51">D13/B13</f>
        <v>0.43913416176791598</v>
      </c>
      <c r="E14" s="63"/>
      <c r="F14" s="65"/>
      <c r="G14" s="65"/>
      <c r="H14" s="2"/>
      <c r="I14" s="2"/>
      <c r="J14" s="2"/>
      <c r="K14" s="2"/>
    </row>
    <row r="15" spans="1:23" x14ac:dyDescent="0.15">
      <c r="A15" s="64">
        <v>43076</v>
      </c>
      <c r="B15" s="54">
        <f t="shared" ca="1" si="47"/>
        <v>484</v>
      </c>
      <c r="C15" s="53">
        <f t="shared" ca="1" si="48"/>
        <v>598.73449562605458</v>
      </c>
    </row>
    <row r="16" spans="1:23" x14ac:dyDescent="0.15">
      <c r="A16" s="64"/>
      <c r="B16" s="66">
        <v>2</v>
      </c>
      <c r="C16" s="67"/>
    </row>
    <row r="42" spans="1:11" s="5" customFormat="1" x14ac:dyDescent="0.15">
      <c r="A42" s="5" t="s">
        <v>54</v>
      </c>
      <c r="B42" s="5" t="s">
        <v>55</v>
      </c>
      <c r="D42" s="61" t="s">
        <v>56</v>
      </c>
      <c r="E42" s="61"/>
      <c r="F42" s="61"/>
      <c r="G42" s="61"/>
      <c r="H42" s="61"/>
      <c r="I42" s="61"/>
      <c r="J42" s="61"/>
      <c r="K42" s="61"/>
    </row>
  </sheetData>
  <mergeCells count="49">
    <mergeCell ref="V1:W1"/>
    <mergeCell ref="R1:S1"/>
    <mergeCell ref="B16:C16"/>
    <mergeCell ref="A15:A16"/>
    <mergeCell ref="L4:M4"/>
    <mergeCell ref="L6:M6"/>
    <mergeCell ref="N4:O4"/>
    <mergeCell ref="B4:C4"/>
    <mergeCell ref="B6:C6"/>
    <mergeCell ref="B8:C8"/>
    <mergeCell ref="B10:C10"/>
    <mergeCell ref="B12:C12"/>
    <mergeCell ref="H6:I6"/>
    <mergeCell ref="H8:I8"/>
    <mergeCell ref="H10:I10"/>
    <mergeCell ref="J4:K4"/>
    <mergeCell ref="P1:Q1"/>
    <mergeCell ref="J6:K6"/>
    <mergeCell ref="J8:K8"/>
    <mergeCell ref="F6:G6"/>
    <mergeCell ref="F8:G8"/>
    <mergeCell ref="T1:U1"/>
    <mergeCell ref="F4:G4"/>
    <mergeCell ref="H4:I4"/>
    <mergeCell ref="A13:A14"/>
    <mergeCell ref="D6:E6"/>
    <mergeCell ref="D8:E8"/>
    <mergeCell ref="D10:E10"/>
    <mergeCell ref="D12:E12"/>
    <mergeCell ref="D14:E14"/>
    <mergeCell ref="B14:C14"/>
    <mergeCell ref="A9:A10"/>
    <mergeCell ref="A11:A12"/>
    <mergeCell ref="F12:G12"/>
    <mergeCell ref="F14:G14"/>
    <mergeCell ref="L1:M1"/>
    <mergeCell ref="N1:O1"/>
    <mergeCell ref="D42:K42"/>
    <mergeCell ref="A1:A2"/>
    <mergeCell ref="B1:C1"/>
    <mergeCell ref="D1:E1"/>
    <mergeCell ref="F1:G1"/>
    <mergeCell ref="H1:I1"/>
    <mergeCell ref="J1:K1"/>
    <mergeCell ref="D4:E4"/>
    <mergeCell ref="A3:A4"/>
    <mergeCell ref="A5:A6"/>
    <mergeCell ref="A7:A8"/>
    <mergeCell ref="F10:G10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3"/>
  <sheetViews>
    <sheetView workbookViewId="0">
      <pane xSplit="1" topLeftCell="N1" activePane="topRight" state="frozen"/>
      <selection pane="topRight" sqref="A1:AE61"/>
    </sheetView>
  </sheetViews>
  <sheetFormatPr defaultRowHeight="13.5" x14ac:dyDescent="0.15"/>
  <cols>
    <col min="1" max="1" width="11.625" bestFit="1" customWidth="1"/>
    <col min="2" max="2" width="8.75" style="29" customWidth="1"/>
    <col min="10" max="10" width="8.25" customWidth="1"/>
    <col min="17" max="17" width="8.25" customWidth="1"/>
    <col min="18" max="18" width="9.25" customWidth="1"/>
  </cols>
  <sheetData>
    <row r="1" spans="1:31" s="27" customFormat="1" x14ac:dyDescent="0.15">
      <c r="A1" s="27" t="s">
        <v>51</v>
      </c>
      <c r="B1" s="27" t="s">
        <v>84</v>
      </c>
      <c r="C1" s="27" t="s">
        <v>151</v>
      </c>
      <c r="D1" s="27" t="s">
        <v>152</v>
      </c>
      <c r="E1" s="27" t="s">
        <v>15</v>
      </c>
      <c r="F1" s="27" t="s">
        <v>16</v>
      </c>
      <c r="G1" s="27" t="s">
        <v>17</v>
      </c>
      <c r="H1" s="27" t="s">
        <v>18</v>
      </c>
      <c r="I1" s="27" t="s">
        <v>19</v>
      </c>
      <c r="J1" s="27" t="s">
        <v>20</v>
      </c>
      <c r="K1" s="27" t="s">
        <v>21</v>
      </c>
      <c r="L1" s="27" t="s">
        <v>22</v>
      </c>
      <c r="M1" s="27" t="s">
        <v>23</v>
      </c>
      <c r="N1" s="27" t="s">
        <v>24</v>
      </c>
      <c r="O1" s="27" t="s">
        <v>25</v>
      </c>
      <c r="P1" s="27" t="s">
        <v>26</v>
      </c>
      <c r="Q1" s="27" t="s">
        <v>27</v>
      </c>
      <c r="R1" s="27" t="s">
        <v>28</v>
      </c>
      <c r="S1" s="27" t="s">
        <v>29</v>
      </c>
      <c r="T1" s="27" t="s">
        <v>30</v>
      </c>
      <c r="U1" s="27" t="s">
        <v>31</v>
      </c>
      <c r="V1" s="27" t="s">
        <v>32</v>
      </c>
      <c r="W1" s="27" t="s">
        <v>33</v>
      </c>
      <c r="X1" s="27" t="s">
        <v>34</v>
      </c>
      <c r="Y1" s="27" t="s">
        <v>35</v>
      </c>
      <c r="Z1" s="27" t="s">
        <v>36</v>
      </c>
      <c r="AA1" s="27" t="s">
        <v>37</v>
      </c>
      <c r="AB1" s="27" t="s">
        <v>38</v>
      </c>
      <c r="AC1" s="27" t="s">
        <v>39</v>
      </c>
      <c r="AD1" s="27" t="s">
        <v>40</v>
      </c>
      <c r="AE1" s="27" t="s">
        <v>41</v>
      </c>
    </row>
    <row r="2" spans="1:31" s="17" customFormat="1" x14ac:dyDescent="0.15">
      <c r="A2" s="59">
        <v>43054</v>
      </c>
      <c r="B2" s="60">
        <f ca="1">RANDBETWEEN(10,150)</f>
        <v>30</v>
      </c>
      <c r="C2" s="31">
        <f ca="1">RAND()*0.2+0.6</f>
        <v>0.63775302648708887</v>
      </c>
      <c r="D2" s="31">
        <f ca="1">RAND()*0.1+0.5</f>
        <v>0.59367286050273393</v>
      </c>
      <c r="E2" s="31">
        <f ca="1">RAND()*0.1+0.5</f>
        <v>0.58040293192633252</v>
      </c>
      <c r="F2" s="31">
        <f ca="1">RAND()*0.05+0.45</f>
        <v>0.45805045930271071</v>
      </c>
      <c r="G2" s="31">
        <f ca="1">RAND()*0.05+0.4</f>
        <v>0.43654677745361281</v>
      </c>
      <c r="H2" s="31">
        <f ca="1">RAND()*0.025+0.375</f>
        <v>0.37723702300495454</v>
      </c>
      <c r="I2" s="31">
        <f ca="1">RAND()*0.02+0.35</f>
        <v>0.36749723865413603</v>
      </c>
      <c r="J2" s="31">
        <f ca="1">RAND()*0.025+0.3</f>
        <v>0.31824913968110025</v>
      </c>
      <c r="K2" s="31">
        <f ca="1">RAND()*0.01+0.29</f>
        <v>0.2957098289506746</v>
      </c>
      <c r="L2" s="31">
        <f ca="1">RAND()*0.01+0.28</f>
        <v>0.28455317123538171</v>
      </c>
      <c r="M2" s="31">
        <f ca="1">RAND()*0.01+0.22</f>
        <v>0.22137669495305468</v>
      </c>
      <c r="N2" s="31">
        <f ca="1">RAND()*0.02+0.2</f>
        <v>0.20682167745296084</v>
      </c>
      <c r="O2" s="31">
        <f ca="1">RAND()*0.01+0.18</f>
        <v>0.18575289260484609</v>
      </c>
      <c r="P2" s="31">
        <f ca="1">RAND()*0.01+0.15</f>
        <v>0.15851681348782812</v>
      </c>
      <c r="Q2" s="31">
        <f ca="1">RAND()*0.01+0.14</f>
        <v>0.14559259466177829</v>
      </c>
      <c r="R2" s="31">
        <f ca="1">RAND()*0.01+0.135</f>
        <v>0.13643473629721156</v>
      </c>
      <c r="S2" s="31">
        <f ca="1">RAND()*0.01+0.135</f>
        <v>0.14428071279772192</v>
      </c>
      <c r="T2" s="31">
        <f ca="1">RAND()*0.01+0.135</f>
        <v>0.13509106159193784</v>
      </c>
      <c r="U2" s="31">
        <f ca="1">RAND()*0.01+0.12</f>
        <v>0.12039866826214132</v>
      </c>
      <c r="V2" s="31">
        <f ca="1">RAND()*0.01+0.12</f>
        <v>0.1200641414942126</v>
      </c>
      <c r="W2" s="31">
        <f ca="1">RAND()*0.01+0.118</f>
        <v>0.12401984337396012</v>
      </c>
      <c r="X2" s="31">
        <f ca="1">RAND()*0.01+0.115</f>
        <v>0.11946030645126111</v>
      </c>
      <c r="Y2" s="31">
        <f ca="1">RAND()*0.01+0.114</f>
        <v>0.12348061554104313</v>
      </c>
      <c r="Z2" s="31">
        <f ca="1">RAND()*0.01+0.112</f>
        <v>0.11987352344573277</v>
      </c>
      <c r="AA2" s="31">
        <f ca="1">RAND()*0.01+0.111</f>
        <v>0.11691849234354215</v>
      </c>
      <c r="AB2" s="31">
        <f ca="1">RAND()*0.01+0.09</f>
        <v>9.0913741464463474E-2</v>
      </c>
      <c r="AC2" s="31">
        <f ca="1">RAND()*0.01+0.088</f>
        <v>9.4097118305452698E-2</v>
      </c>
      <c r="AD2" s="31">
        <f ca="1">RAND()*0.01+0.085</f>
        <v>9.3828207292902865E-2</v>
      </c>
      <c r="AE2" s="31">
        <f ca="1">RAND()*0.01+0.082</f>
        <v>8.7506973575522312E-2</v>
      </c>
    </row>
    <row r="3" spans="1:31" x14ac:dyDescent="0.15">
      <c r="A3" s="60"/>
      <c r="B3" s="60"/>
      <c r="C3" s="32">
        <f ca="1">C2*B2</f>
        <v>19.132590794612668</v>
      </c>
      <c r="D3" s="32">
        <f ca="1">D2*B2</f>
        <v>17.810185815082018</v>
      </c>
      <c r="E3" s="32">
        <f ca="1">E2*B2</f>
        <v>17.412087957789975</v>
      </c>
      <c r="F3" s="32">
        <f ca="1">F2*B2</f>
        <v>13.741513779081322</v>
      </c>
      <c r="G3" s="32">
        <f ca="1">G2*B2</f>
        <v>13.096403323608385</v>
      </c>
      <c r="H3" s="32">
        <f ca="1">H2*B2</f>
        <v>11.317110690148636</v>
      </c>
      <c r="I3" s="33">
        <f ca="1">I2*B2</f>
        <v>11.024917159624081</v>
      </c>
      <c r="J3" s="33">
        <f ca="1">J2*B2</f>
        <v>9.5474741904330074</v>
      </c>
      <c r="K3" s="34">
        <f ca="1">K2*B2</f>
        <v>8.8712948685202377</v>
      </c>
      <c r="L3" s="34">
        <f ca="1">L2*B2</f>
        <v>8.5365951370614503</v>
      </c>
      <c r="M3" s="34">
        <f ca="1">M2*B2</f>
        <v>6.6413008485916407</v>
      </c>
      <c r="N3" s="34">
        <f ca="1">N2*B2</f>
        <v>6.2046503235888251</v>
      </c>
      <c r="O3" s="34">
        <f ca="1">O2*B2</f>
        <v>5.5725867781453831</v>
      </c>
      <c r="P3" s="34">
        <f ca="1">B2*P2</f>
        <v>4.7555044046348431</v>
      </c>
      <c r="Q3" s="34">
        <f ca="1">Q2*B2</f>
        <v>4.3677778398533489</v>
      </c>
      <c r="R3" s="34">
        <f ca="1">R2*B2</f>
        <v>4.0930420889163468</v>
      </c>
      <c r="S3" s="34">
        <f ca="1">S2*B2</f>
        <v>4.3284213839316577</v>
      </c>
      <c r="T3" s="34">
        <f ca="1">T2*B2</f>
        <v>4.0527318477581353</v>
      </c>
      <c r="U3" s="34">
        <f ca="1">U2*B2</f>
        <v>3.6119600478642395</v>
      </c>
      <c r="V3" s="34">
        <f ca="1">V2*B2</f>
        <v>3.6019242448263782</v>
      </c>
      <c r="W3" s="34">
        <f ca="1">W2*B2</f>
        <v>3.7205953012188036</v>
      </c>
      <c r="X3" s="34">
        <f ca="1">X2*B2</f>
        <v>3.5838091935378333</v>
      </c>
      <c r="Y3" s="34">
        <f ca="1">Y2*B2</f>
        <v>3.704418466231294</v>
      </c>
      <c r="Z3" s="34">
        <f ca="1">Z2*B2</f>
        <v>3.5962057033719832</v>
      </c>
      <c r="AA3" s="34">
        <f ca="1">AA2*B2</f>
        <v>3.5075547703062644</v>
      </c>
      <c r="AB3" s="34">
        <f ca="1">AB2*B2</f>
        <v>2.7274122439339044</v>
      </c>
      <c r="AC3" s="34">
        <f ca="1">AC2*B2</f>
        <v>2.8229135491635811</v>
      </c>
      <c r="AD3" s="34">
        <f ca="1">AD2*B2</f>
        <v>2.814846218787086</v>
      </c>
      <c r="AE3" s="34">
        <f ca="1">AE2*B2</f>
        <v>2.6252092072656694</v>
      </c>
    </row>
    <row r="4" spans="1:31" x14ac:dyDescent="0.15">
      <c r="A4" s="59">
        <v>43055</v>
      </c>
      <c r="B4" s="60">
        <f t="shared" ref="B4" ca="1" si="0">RANDBETWEEN(10,150)</f>
        <v>121</v>
      </c>
      <c r="C4" s="31">
        <f t="shared" ref="C4" ca="1" si="1">RAND()*0.2+0.6</f>
        <v>0.62557546293699173</v>
      </c>
      <c r="D4" s="31">
        <f t="shared" ref="D4:E4" ca="1" si="2">RAND()*0.1+0.5</f>
        <v>0.58219911188111606</v>
      </c>
      <c r="E4" s="31">
        <f t="shared" ca="1" si="2"/>
        <v>0.55212974016499283</v>
      </c>
      <c r="F4" s="31">
        <f t="shared" ref="F4" ca="1" si="3">RAND()*0.05+0.45</f>
        <v>0.45148975164233784</v>
      </c>
      <c r="G4" s="31">
        <f t="shared" ref="G4" ca="1" si="4">RAND()*0.05+0.4</f>
        <v>0.4403300237007271</v>
      </c>
      <c r="H4" s="31">
        <f t="shared" ref="H4" ca="1" si="5">RAND()*0.025+0.375</f>
        <v>0.38940497556311254</v>
      </c>
      <c r="I4" s="31">
        <f t="shared" ref="I4" ca="1" si="6">RAND()*0.02+0.35</f>
        <v>0.35450209993350756</v>
      </c>
      <c r="J4" s="31">
        <f t="shared" ref="J4" ca="1" si="7">RAND()*0.025+0.3</f>
        <v>0.31232433386311176</v>
      </c>
      <c r="K4" s="31">
        <f t="shared" ref="K4" ca="1" si="8">RAND()*0.01+0.29</f>
        <v>0.29967160166527829</v>
      </c>
      <c r="L4" s="31">
        <f t="shared" ref="L4" ca="1" si="9">RAND()*0.01+0.28</f>
        <v>0.28830111405409037</v>
      </c>
      <c r="M4" s="31">
        <f t="shared" ref="M4" ca="1" si="10">RAND()*0.01+0.22</f>
        <v>0.22141539661589454</v>
      </c>
      <c r="N4" s="31">
        <f t="shared" ref="N4" ca="1" si="11">RAND()*0.02+0.2</f>
        <v>0.20512288037783494</v>
      </c>
      <c r="O4" s="31">
        <f t="shared" ref="O4" ca="1" si="12">RAND()*0.01+0.18</f>
        <v>0.18403380277950479</v>
      </c>
      <c r="P4" s="31">
        <f t="shared" ref="P4" ca="1" si="13">RAND()*0.01+0.15</f>
        <v>0.15895930495642546</v>
      </c>
      <c r="Q4" s="31">
        <f t="shared" ref="Q4" ca="1" si="14">RAND()*0.01+0.14</f>
        <v>0.14331329697354475</v>
      </c>
      <c r="R4" s="31">
        <f t="shared" ref="R4:T4" ca="1" si="15">RAND()*0.01+0.135</f>
        <v>0.13633466793366275</v>
      </c>
      <c r="S4" s="31">
        <f t="shared" ca="1" si="15"/>
        <v>0.13644923343141541</v>
      </c>
      <c r="T4" s="31">
        <f t="shared" ca="1" si="15"/>
        <v>0.14177823619749105</v>
      </c>
      <c r="U4" s="31">
        <f t="shared" ref="U4:V4" ca="1" si="16">RAND()*0.01+0.12</f>
        <v>0.1267812434974005</v>
      </c>
      <c r="V4" s="31">
        <f t="shared" ca="1" si="16"/>
        <v>0.12575463217267777</v>
      </c>
      <c r="W4" s="31">
        <f t="shared" ref="W4" ca="1" si="17">RAND()*0.01+0.118</f>
        <v>0.11968757958944411</v>
      </c>
      <c r="X4" s="31">
        <f t="shared" ref="X4" ca="1" si="18">RAND()*0.01+0.115</f>
        <v>0.12388128848961009</v>
      </c>
      <c r="Y4" s="31">
        <f t="shared" ref="Y4" ca="1" si="19">RAND()*0.01+0.114</f>
        <v>0.12263030412631105</v>
      </c>
      <c r="Z4" s="31">
        <f t="shared" ref="Z4" ca="1" si="20">RAND()*0.01+0.112</f>
        <v>0.11804074417137173</v>
      </c>
      <c r="AA4" s="31">
        <f t="shared" ref="AA4" ca="1" si="21">RAND()*0.01+0.111</f>
        <v>0.11893556926299781</v>
      </c>
      <c r="AB4" s="31">
        <f t="shared" ref="AB4" ca="1" si="22">RAND()*0.01+0.09</f>
        <v>9.293255938176985E-2</v>
      </c>
      <c r="AC4" s="31">
        <f t="shared" ref="AC4" ca="1" si="23">RAND()*0.01+0.088</f>
        <v>9.7988288755450251E-2</v>
      </c>
      <c r="AD4" s="31">
        <f ca="1">RAND()*0.01+0.085</f>
        <v>9.2821974925485162E-2</v>
      </c>
      <c r="AE4" s="28"/>
    </row>
    <row r="5" spans="1:31" x14ac:dyDescent="0.15">
      <c r="A5" s="60"/>
      <c r="B5" s="60"/>
      <c r="C5" s="32">
        <f t="shared" ref="C5" ca="1" si="24">C4*B4</f>
        <v>75.694631015376004</v>
      </c>
      <c r="D5" s="32">
        <f t="shared" ref="D5" ca="1" si="25">D4*B4</f>
        <v>70.446092537615044</v>
      </c>
      <c r="E5" s="32">
        <f t="shared" ref="E5" ca="1" si="26">E4*B4</f>
        <v>66.807698559964138</v>
      </c>
      <c r="F5" s="32">
        <f t="shared" ref="F5" ca="1" si="27">F4*B4</f>
        <v>54.63025994872288</v>
      </c>
      <c r="G5" s="32">
        <f t="shared" ref="G5" ca="1" si="28">G4*B4</f>
        <v>53.279932867787977</v>
      </c>
      <c r="H5" s="32">
        <f t="shared" ref="H5" ca="1" si="29">H4*B4</f>
        <v>47.11800204313662</v>
      </c>
      <c r="I5" s="33">
        <f t="shared" ref="I5" ca="1" si="30">I4*B4</f>
        <v>42.894754091954418</v>
      </c>
      <c r="J5" s="33">
        <f t="shared" ref="J5" ca="1" si="31">J4*B4</f>
        <v>37.791244397436522</v>
      </c>
      <c r="K5" s="34">
        <f t="shared" ref="K5" ca="1" si="32">K4*B4</f>
        <v>36.260263801498674</v>
      </c>
      <c r="L5" s="34">
        <f t="shared" ref="L5" ca="1" si="33">L4*B4</f>
        <v>34.884434800544938</v>
      </c>
      <c r="M5" s="34">
        <f t="shared" ref="M5" ca="1" si="34">M4*B4</f>
        <v>26.79126299052324</v>
      </c>
      <c r="N5" s="34">
        <f t="shared" ref="N5" ca="1" si="35">N4*B4</f>
        <v>24.819868525718029</v>
      </c>
      <c r="O5" s="34">
        <f t="shared" ref="O5" ca="1" si="36">O4*B4</f>
        <v>22.26809013632008</v>
      </c>
      <c r="P5" s="34">
        <f t="shared" ref="P5" ca="1" si="37">B4*P4</f>
        <v>19.234075899727483</v>
      </c>
      <c r="Q5" s="34">
        <f t="shared" ref="Q5" ca="1" si="38">Q4*B4</f>
        <v>17.340908933798914</v>
      </c>
      <c r="R5" s="34">
        <f t="shared" ref="R5" ca="1" si="39">R4*B4</f>
        <v>16.496494819973194</v>
      </c>
      <c r="S5" s="34">
        <f t="shared" ref="S5" ca="1" si="40">S4*B4</f>
        <v>16.510357245201263</v>
      </c>
      <c r="T5" s="34">
        <f t="shared" ref="T5" ca="1" si="41">T4*B4</f>
        <v>17.155166579896417</v>
      </c>
      <c r="U5" s="34">
        <f t="shared" ref="U5" ca="1" si="42">U4*B4</f>
        <v>15.340530463185461</v>
      </c>
      <c r="V5" s="34">
        <f t="shared" ref="V5" ca="1" si="43">V4*B4</f>
        <v>15.21631049289401</v>
      </c>
      <c r="W5" s="34">
        <f t="shared" ref="W5" ca="1" si="44">W4*B4</f>
        <v>14.482197130322737</v>
      </c>
      <c r="X5" s="34">
        <f t="shared" ref="X5" ca="1" si="45">X4*B4</f>
        <v>14.989635907242821</v>
      </c>
      <c r="Y5" s="34">
        <f t="shared" ref="Y5" ca="1" si="46">Y4*B4</f>
        <v>14.838266799283637</v>
      </c>
      <c r="Z5" s="34">
        <f t="shared" ref="Z5" ca="1" si="47">Z4*B4</f>
        <v>14.282930044735979</v>
      </c>
      <c r="AA5" s="34">
        <f t="shared" ref="AA5" ca="1" si="48">AA4*B4</f>
        <v>14.391203880822735</v>
      </c>
      <c r="AB5" s="34">
        <f t="shared" ref="AB5" ca="1" si="49">AB4*B4</f>
        <v>11.244839685194151</v>
      </c>
      <c r="AC5" s="34">
        <f t="shared" ref="AC5" ca="1" si="50">AC4*B4</f>
        <v>11.856582939409479</v>
      </c>
      <c r="AD5" s="34">
        <f ca="1">AD4*B4</f>
        <v>11.231458965983705</v>
      </c>
      <c r="AE5" s="28"/>
    </row>
    <row r="6" spans="1:31" x14ac:dyDescent="0.15">
      <c r="A6" s="59">
        <v>43056</v>
      </c>
      <c r="B6" s="60">
        <f t="shared" ref="B6" ca="1" si="51">RANDBETWEEN(10,150)</f>
        <v>138</v>
      </c>
      <c r="C6" s="31">
        <f t="shared" ref="C6" ca="1" si="52">RAND()*0.2+0.6</f>
        <v>0.61745787826868848</v>
      </c>
      <c r="D6" s="31">
        <f t="shared" ref="D6:E6" ca="1" si="53">RAND()*0.1+0.5</f>
        <v>0.54141547169080317</v>
      </c>
      <c r="E6" s="31">
        <f t="shared" ca="1" si="53"/>
        <v>0.5386751780171537</v>
      </c>
      <c r="F6" s="31">
        <f t="shared" ref="F6" ca="1" si="54">RAND()*0.05+0.45</f>
        <v>0.49642531014285052</v>
      </c>
      <c r="G6" s="31">
        <f t="shared" ref="G6" ca="1" si="55">RAND()*0.05+0.4</f>
        <v>0.44386860325557742</v>
      </c>
      <c r="H6" s="31">
        <f t="shared" ref="H6" ca="1" si="56">RAND()*0.025+0.375</f>
        <v>0.39232759202341017</v>
      </c>
      <c r="I6" s="31">
        <f t="shared" ref="I6" ca="1" si="57">RAND()*0.02+0.35</f>
        <v>0.35477065195040663</v>
      </c>
      <c r="J6" s="31">
        <f t="shared" ref="J6" ca="1" si="58">RAND()*0.025+0.3</f>
        <v>0.30347319508369769</v>
      </c>
      <c r="K6" s="31">
        <f t="shared" ref="K6" ca="1" si="59">RAND()*0.01+0.29</f>
        <v>0.29094626769472276</v>
      </c>
      <c r="L6" s="31">
        <f t="shared" ref="L6" ca="1" si="60">RAND()*0.01+0.28</f>
        <v>0.28248668200219318</v>
      </c>
      <c r="M6" s="31">
        <f t="shared" ref="M6" ca="1" si="61">RAND()*0.01+0.22</f>
        <v>0.22840955852479813</v>
      </c>
      <c r="N6" s="31">
        <f t="shared" ref="N6" ca="1" si="62">RAND()*0.02+0.2</f>
        <v>0.20059014340621184</v>
      </c>
      <c r="O6" s="31">
        <f t="shared" ref="O6" ca="1" si="63">RAND()*0.01+0.18</f>
        <v>0.18995924178079793</v>
      </c>
      <c r="P6" s="31">
        <f t="shared" ref="P6" ca="1" si="64">RAND()*0.01+0.15</f>
        <v>0.15237174570131068</v>
      </c>
      <c r="Q6" s="31">
        <f t="shared" ref="Q6" ca="1" si="65">RAND()*0.01+0.14</f>
        <v>0.14577398758187543</v>
      </c>
      <c r="R6" s="31">
        <f t="shared" ref="R6:T6" ca="1" si="66">RAND()*0.01+0.135</f>
        <v>0.13571291261728602</v>
      </c>
      <c r="S6" s="31">
        <f t="shared" ca="1" si="66"/>
        <v>0.14400078531350599</v>
      </c>
      <c r="T6" s="31">
        <f t="shared" ca="1" si="66"/>
        <v>0.13567810094436739</v>
      </c>
      <c r="U6" s="31">
        <f t="shared" ref="U6:V6" ca="1" si="67">RAND()*0.01+0.12</f>
        <v>0.12927825976475038</v>
      </c>
      <c r="V6" s="31">
        <f t="shared" ca="1" si="67"/>
        <v>0.12684387698936045</v>
      </c>
      <c r="W6" s="31">
        <f t="shared" ref="W6" ca="1" si="68">RAND()*0.01+0.118</f>
        <v>0.12460488782058696</v>
      </c>
      <c r="X6" s="31">
        <f t="shared" ref="X6" ca="1" si="69">RAND()*0.01+0.115</f>
        <v>0.12326503518992256</v>
      </c>
      <c r="Y6" s="31">
        <f t="shared" ref="Y6" ca="1" si="70">RAND()*0.01+0.114</f>
        <v>0.12227964421682193</v>
      </c>
      <c r="Z6" s="31">
        <f t="shared" ref="Z6" ca="1" si="71">RAND()*0.01+0.112</f>
        <v>0.12112189255746425</v>
      </c>
      <c r="AA6" s="31">
        <f t="shared" ref="AA6" ca="1" si="72">RAND()*0.01+0.111</f>
        <v>0.11900130911736767</v>
      </c>
      <c r="AB6" s="31">
        <f t="shared" ref="AB6" ca="1" si="73">RAND()*0.01+0.09</f>
        <v>9.5156250879359791E-2</v>
      </c>
      <c r="AC6" s="31">
        <f t="shared" ref="AC6" ca="1" si="74">RAND()*0.01+0.088</f>
        <v>8.9452782253572422E-2</v>
      </c>
      <c r="AD6" s="28"/>
      <c r="AE6" s="28"/>
    </row>
    <row r="7" spans="1:31" x14ac:dyDescent="0.15">
      <c r="A7" s="60"/>
      <c r="B7" s="60"/>
      <c r="C7" s="32">
        <f t="shared" ref="C7" ca="1" si="75">C6*B6</f>
        <v>85.209187201079004</v>
      </c>
      <c r="D7" s="32">
        <f t="shared" ref="D7" ca="1" si="76">D6*B6</f>
        <v>74.715335093330836</v>
      </c>
      <c r="E7" s="32">
        <f t="shared" ref="E7" ca="1" si="77">E6*B6</f>
        <v>74.33717456636721</v>
      </c>
      <c r="F7" s="32">
        <f t="shared" ref="F7" ca="1" si="78">F6*B6</f>
        <v>68.506692799713377</v>
      </c>
      <c r="G7" s="32">
        <f t="shared" ref="G7" ca="1" si="79">G6*B6</f>
        <v>61.253867249269682</v>
      </c>
      <c r="H7" s="32">
        <f t="shared" ref="H7" ca="1" si="80">H6*B6</f>
        <v>54.141207699230605</v>
      </c>
      <c r="I7" s="33">
        <f t="shared" ref="I7" ca="1" si="81">I6*B6</f>
        <v>48.958349969156117</v>
      </c>
      <c r="J7" s="33">
        <f t="shared" ref="J7" ca="1" si="82">J6*B6</f>
        <v>41.879300921550282</v>
      </c>
      <c r="K7" s="34">
        <f t="shared" ref="K7" ca="1" si="83">K6*B6</f>
        <v>40.150584941871742</v>
      </c>
      <c r="L7" s="34">
        <f t="shared" ref="L7" ca="1" si="84">L6*B6</f>
        <v>38.983162116302658</v>
      </c>
      <c r="M7" s="34">
        <f t="shared" ref="M7" ca="1" si="85">M6*B6</f>
        <v>31.520519076422143</v>
      </c>
      <c r="N7" s="34">
        <f t="shared" ref="N7" ca="1" si="86">N6*B6</f>
        <v>27.681439790057233</v>
      </c>
      <c r="O7" s="34">
        <f t="shared" ref="O7" ca="1" si="87">O6*B6</f>
        <v>26.214375365750115</v>
      </c>
      <c r="P7" s="34">
        <f t="shared" ref="P7" ca="1" si="88">B6*P6</f>
        <v>21.027300906780873</v>
      </c>
      <c r="Q7" s="34">
        <f t="shared" ref="Q7" ca="1" si="89">Q6*B6</f>
        <v>20.116810286298808</v>
      </c>
      <c r="R7" s="34">
        <f t="shared" ref="R7" ca="1" si="90">R6*B6</f>
        <v>18.728381941185472</v>
      </c>
      <c r="S7" s="34">
        <f t="shared" ref="S7" ca="1" si="91">S6*B6</f>
        <v>19.872108373263828</v>
      </c>
      <c r="T7" s="34">
        <f t="shared" ref="T7" ca="1" si="92">T6*B6</f>
        <v>18.723577930322698</v>
      </c>
      <c r="U7" s="34">
        <f t="shared" ref="U7" ca="1" si="93">U6*B6</f>
        <v>17.840399847535551</v>
      </c>
      <c r="V7" s="34">
        <f t="shared" ref="V7" ca="1" si="94">V6*B6</f>
        <v>17.50445502453174</v>
      </c>
      <c r="W7" s="34">
        <f t="shared" ref="W7" ca="1" si="95">W6*B6</f>
        <v>17.195474519240999</v>
      </c>
      <c r="X7" s="34">
        <f t="shared" ref="X7" ca="1" si="96">X6*B6</f>
        <v>17.010574856209313</v>
      </c>
      <c r="Y7" s="34">
        <f t="shared" ref="Y7" ca="1" si="97">Y6*B6</f>
        <v>16.874590901921426</v>
      </c>
      <c r="Z7" s="34">
        <f t="shared" ref="Z7" ca="1" si="98">Z6*B6</f>
        <v>16.714821172930066</v>
      </c>
      <c r="AA7" s="34">
        <f t="shared" ref="AA7" ca="1" si="99">AA6*B6</f>
        <v>16.422180658196737</v>
      </c>
      <c r="AB7" s="34">
        <f t="shared" ref="AB7" ca="1" si="100">AB6*B6</f>
        <v>13.131562621351652</v>
      </c>
      <c r="AC7" s="31">
        <f ca="1">RAND()*0.01+0.088</f>
        <v>9.741957254575917E-2</v>
      </c>
      <c r="AD7" s="28"/>
      <c r="AE7" s="28"/>
    </row>
    <row r="8" spans="1:31" x14ac:dyDescent="0.15">
      <c r="A8" s="59">
        <v>43057</v>
      </c>
      <c r="B8" s="60">
        <f t="shared" ref="B8" ca="1" si="101">RANDBETWEEN(10,150)</f>
        <v>64</v>
      </c>
      <c r="C8" s="31">
        <f t="shared" ref="C8" ca="1" si="102">RAND()*0.2+0.6</f>
        <v>0.79411160115438262</v>
      </c>
      <c r="D8" s="31">
        <f t="shared" ref="D8:E8" ca="1" si="103">RAND()*0.1+0.5</f>
        <v>0.51984177602784098</v>
      </c>
      <c r="E8" s="31">
        <f t="shared" ca="1" si="103"/>
        <v>0.59270705648443922</v>
      </c>
      <c r="F8" s="31">
        <f t="shared" ref="F8" ca="1" si="104">RAND()*0.05+0.45</f>
        <v>0.49727611822174483</v>
      </c>
      <c r="G8" s="31">
        <f t="shared" ref="G8" ca="1" si="105">RAND()*0.05+0.4</f>
        <v>0.42724327280232477</v>
      </c>
      <c r="H8" s="31">
        <f t="shared" ref="H8" ca="1" si="106">RAND()*0.025+0.375</f>
        <v>0.3753177418955207</v>
      </c>
      <c r="I8" s="31">
        <f t="shared" ref="I8" ca="1" si="107">RAND()*0.02+0.35</f>
        <v>0.36942656098520987</v>
      </c>
      <c r="J8" s="31">
        <f t="shared" ref="J8" ca="1" si="108">RAND()*0.025+0.3</f>
        <v>0.30365582008688596</v>
      </c>
      <c r="K8" s="31">
        <f t="shared" ref="K8" ca="1" si="109">RAND()*0.01+0.29</f>
        <v>0.29623762168285589</v>
      </c>
      <c r="L8" s="31">
        <f t="shared" ref="L8" ca="1" si="110">RAND()*0.01+0.28</f>
        <v>0.28603737494281156</v>
      </c>
      <c r="M8" s="31">
        <f t="shared" ref="M8" ca="1" si="111">RAND()*0.01+0.22</f>
        <v>0.22063439044808597</v>
      </c>
      <c r="N8" s="31">
        <f t="shared" ref="N8" ca="1" si="112">RAND()*0.02+0.2</f>
        <v>0.20396683393594014</v>
      </c>
      <c r="O8" s="31">
        <f t="shared" ref="O8" ca="1" si="113">RAND()*0.01+0.18</f>
        <v>0.18424810120815852</v>
      </c>
      <c r="P8" s="31">
        <f t="shared" ref="P8" ca="1" si="114">RAND()*0.01+0.15</f>
        <v>0.15491136919827489</v>
      </c>
      <c r="Q8" s="31">
        <f t="shared" ref="Q8" ca="1" si="115">RAND()*0.01+0.14</f>
        <v>0.14640094831660935</v>
      </c>
      <c r="R8" s="31">
        <f t="shared" ref="R8:T8" ca="1" si="116">RAND()*0.01+0.135</f>
        <v>0.14203035260127189</v>
      </c>
      <c r="S8" s="31">
        <f t="shared" ca="1" si="116"/>
        <v>0.1401206307944593</v>
      </c>
      <c r="T8" s="31">
        <f t="shared" ca="1" si="116"/>
        <v>0.1374498825561272</v>
      </c>
      <c r="U8" s="31">
        <f t="shared" ref="U8:V8" ca="1" si="117">RAND()*0.01+0.12</f>
        <v>0.12602309501016493</v>
      </c>
      <c r="V8" s="31">
        <f t="shared" ca="1" si="117"/>
        <v>0.1226791325907815</v>
      </c>
      <c r="W8" s="31">
        <f t="shared" ref="W8" ca="1" si="118">RAND()*0.01+0.118</f>
        <v>0.12792544769011024</v>
      </c>
      <c r="X8" s="31">
        <f t="shared" ref="X8" ca="1" si="119">RAND()*0.01+0.115</f>
        <v>0.12432860657074442</v>
      </c>
      <c r="Y8" s="31">
        <f t="shared" ref="Y8" ca="1" si="120">RAND()*0.01+0.114</f>
        <v>0.12170770553955178</v>
      </c>
      <c r="Z8" s="31">
        <f t="shared" ref="Z8" ca="1" si="121">RAND()*0.01+0.112</f>
        <v>0.11522916116072572</v>
      </c>
      <c r="AA8" s="31">
        <f t="shared" ref="AA8" ca="1" si="122">RAND()*0.01+0.111</f>
        <v>0.11434238893892924</v>
      </c>
      <c r="AB8" s="31">
        <f t="shared" ref="AB8" ca="1" si="123">RAND()*0.01+0.09</f>
        <v>9.0062119333446336E-2</v>
      </c>
      <c r="AC8" s="28"/>
      <c r="AD8" s="28"/>
      <c r="AE8" s="28"/>
    </row>
    <row r="9" spans="1:31" x14ac:dyDescent="0.15">
      <c r="A9" s="60"/>
      <c r="B9" s="60"/>
      <c r="C9" s="32">
        <f t="shared" ref="C9" ca="1" si="124">C8*B8</f>
        <v>50.823142473880488</v>
      </c>
      <c r="D9" s="32">
        <f t="shared" ref="D9" ca="1" si="125">D8*B8</f>
        <v>33.269873665781823</v>
      </c>
      <c r="E9" s="32">
        <f t="shared" ref="E9" ca="1" si="126">E8*B8</f>
        <v>37.93325161500411</v>
      </c>
      <c r="F9" s="32">
        <f t="shared" ref="F9" ca="1" si="127">F8*B8</f>
        <v>31.825671566191669</v>
      </c>
      <c r="G9" s="32">
        <f t="shared" ref="G9" ca="1" si="128">G8*B8</f>
        <v>27.343569459348785</v>
      </c>
      <c r="H9" s="32">
        <f t="shared" ref="H9" ca="1" si="129">H8*B8</f>
        <v>24.020335481313325</v>
      </c>
      <c r="I9" s="33">
        <f t="shared" ref="I9" ca="1" si="130">I8*B8</f>
        <v>23.643299903053432</v>
      </c>
      <c r="J9" s="33">
        <f t="shared" ref="J9" ca="1" si="131">J8*B8</f>
        <v>19.433972485560702</v>
      </c>
      <c r="K9" s="34">
        <f t="shared" ref="K9" ca="1" si="132">K8*B8</f>
        <v>18.959207787702777</v>
      </c>
      <c r="L9" s="34">
        <f t="shared" ref="L9" ca="1" si="133">L8*B8</f>
        <v>18.30639199633994</v>
      </c>
      <c r="M9" s="34">
        <f t="shared" ref="M9" ca="1" si="134">M8*B8</f>
        <v>14.120600988677502</v>
      </c>
      <c r="N9" s="34">
        <f t="shared" ref="N9" ca="1" si="135">N8*B8</f>
        <v>13.053877371900169</v>
      </c>
      <c r="O9" s="34">
        <f t="shared" ref="O9" ca="1" si="136">O8*B8</f>
        <v>11.791878477322145</v>
      </c>
      <c r="P9" s="34">
        <f t="shared" ref="P9" ca="1" si="137">B8*P8</f>
        <v>9.9143276286895929</v>
      </c>
      <c r="Q9" s="34">
        <f t="shared" ref="Q9" ca="1" si="138">Q8*B8</f>
        <v>9.3696606922629986</v>
      </c>
      <c r="R9" s="34">
        <f t="shared" ref="R9" ca="1" si="139">R8*B8</f>
        <v>9.0899425664814011</v>
      </c>
      <c r="S9" s="34">
        <f t="shared" ref="S9" ca="1" si="140">S8*B8</f>
        <v>8.9677203708453952</v>
      </c>
      <c r="T9" s="34">
        <f t="shared" ref="T9" ca="1" si="141">T8*B8</f>
        <v>8.7967924835921405</v>
      </c>
      <c r="U9" s="34">
        <f t="shared" ref="U9" ca="1" si="142">U8*B8</f>
        <v>8.0654780806505553</v>
      </c>
      <c r="V9" s="34">
        <f t="shared" ref="V9" ca="1" si="143">V8*B8</f>
        <v>7.8514644858100162</v>
      </c>
      <c r="W9" s="34">
        <f t="shared" ref="W9" ca="1" si="144">W8*B8</f>
        <v>8.1872286521670556</v>
      </c>
      <c r="X9" s="34">
        <f t="shared" ref="X9" ca="1" si="145">X8*B8</f>
        <v>7.9570308205276428</v>
      </c>
      <c r="Y9" s="34">
        <f t="shared" ref="Y9" ca="1" si="146">Y8*B8</f>
        <v>7.7892931545313138</v>
      </c>
      <c r="Z9" s="34">
        <f t="shared" ref="Z9" ca="1" si="147">Z8*B8</f>
        <v>7.3746663142864461</v>
      </c>
      <c r="AA9" s="34">
        <f t="shared" ref="AA9" ca="1" si="148">AA8*B8</f>
        <v>7.3179128920914716</v>
      </c>
      <c r="AB9" s="34">
        <f t="shared" ref="AB9" ca="1" si="149">AB8*B8</f>
        <v>5.7639756373405655</v>
      </c>
      <c r="AC9" s="28"/>
      <c r="AD9" s="28"/>
      <c r="AE9" s="28"/>
    </row>
    <row r="10" spans="1:31" x14ac:dyDescent="0.15">
      <c r="A10" s="59">
        <v>43058</v>
      </c>
      <c r="B10" s="60">
        <f t="shared" ref="B10" ca="1" si="150">RANDBETWEEN(10,150)</f>
        <v>37</v>
      </c>
      <c r="C10" s="31">
        <f t="shared" ref="C10" ca="1" si="151">RAND()*0.2+0.6</f>
        <v>0.70434698144474739</v>
      </c>
      <c r="D10" s="31">
        <f t="shared" ref="D10:E10" ca="1" si="152">RAND()*0.1+0.5</f>
        <v>0.55095063314219761</v>
      </c>
      <c r="E10" s="31">
        <f t="shared" ca="1" si="152"/>
        <v>0.53541024509441093</v>
      </c>
      <c r="F10" s="31">
        <f t="shared" ref="F10" ca="1" si="153">RAND()*0.05+0.45</f>
        <v>0.45358132695834569</v>
      </c>
      <c r="G10" s="31">
        <f t="shared" ref="G10" ca="1" si="154">RAND()*0.05+0.4</f>
        <v>0.43780364787871073</v>
      </c>
      <c r="H10" s="31">
        <f t="shared" ref="H10" ca="1" si="155">RAND()*0.025+0.375</f>
        <v>0.37673469109964353</v>
      </c>
      <c r="I10" s="31">
        <f t="shared" ref="I10" ca="1" si="156">RAND()*0.02+0.35</f>
        <v>0.36689169540277544</v>
      </c>
      <c r="J10" s="31">
        <f t="shared" ref="J10" ca="1" si="157">RAND()*0.025+0.3</f>
        <v>0.32411028544775444</v>
      </c>
      <c r="K10" s="31">
        <f t="shared" ref="K10" ca="1" si="158">RAND()*0.01+0.29</f>
        <v>0.29721390451974761</v>
      </c>
      <c r="L10" s="31">
        <f t="shared" ref="L10" ca="1" si="159">RAND()*0.01+0.28</f>
        <v>0.28079990148172462</v>
      </c>
      <c r="M10" s="31">
        <f t="shared" ref="M10" ca="1" si="160">RAND()*0.01+0.22</f>
        <v>0.22811554808931622</v>
      </c>
      <c r="N10" s="31">
        <f t="shared" ref="N10" ca="1" si="161">RAND()*0.02+0.2</f>
        <v>0.20696881861588345</v>
      </c>
      <c r="O10" s="31">
        <f t="shared" ref="O10" ca="1" si="162">RAND()*0.01+0.18</f>
        <v>0.18022087372574078</v>
      </c>
      <c r="P10" s="31">
        <f t="shared" ref="P10" ca="1" si="163">RAND()*0.01+0.15</f>
        <v>0.15776290158639639</v>
      </c>
      <c r="Q10" s="31">
        <f t="shared" ref="Q10" ca="1" si="164">RAND()*0.01+0.14</f>
        <v>0.14055476041188525</v>
      </c>
      <c r="R10" s="31">
        <f t="shared" ref="R10:T10" ca="1" si="165">RAND()*0.01+0.135</f>
        <v>0.14289637223269347</v>
      </c>
      <c r="S10" s="31">
        <f t="shared" ca="1" si="165"/>
        <v>0.13847634962662142</v>
      </c>
      <c r="T10" s="31">
        <f t="shared" ca="1" si="165"/>
        <v>0.13788399983197475</v>
      </c>
      <c r="U10" s="31">
        <f t="shared" ref="U10:V10" ca="1" si="166">RAND()*0.01+0.12</f>
        <v>0.12398652626045707</v>
      </c>
      <c r="V10" s="31">
        <f t="shared" ca="1" si="166"/>
        <v>0.12116586190680743</v>
      </c>
      <c r="W10" s="31">
        <f t="shared" ref="W10" ca="1" si="167">RAND()*0.01+0.118</f>
        <v>0.12334797994187764</v>
      </c>
      <c r="X10" s="31">
        <f t="shared" ref="X10" ca="1" si="168">RAND()*0.01+0.115</f>
        <v>0.11635613797699078</v>
      </c>
      <c r="Y10" s="31">
        <f t="shared" ref="Y10" ca="1" si="169">RAND()*0.01+0.114</f>
        <v>0.11695446591122893</v>
      </c>
      <c r="Z10" s="31">
        <f t="shared" ref="Z10" ca="1" si="170">RAND()*0.01+0.112</f>
        <v>0.12102271265257269</v>
      </c>
      <c r="AA10" s="31">
        <f t="shared" ref="AA10" ca="1" si="171">RAND()*0.01+0.111</f>
        <v>0.11184623657185312</v>
      </c>
      <c r="AB10" s="28"/>
      <c r="AC10" s="28"/>
      <c r="AD10" s="28"/>
      <c r="AE10" s="28"/>
    </row>
    <row r="11" spans="1:31" x14ac:dyDescent="0.15">
      <c r="A11" s="60"/>
      <c r="B11" s="60"/>
      <c r="C11" s="32">
        <f t="shared" ref="C11" ca="1" si="172">C10*B10</f>
        <v>26.060838313455655</v>
      </c>
      <c r="D11" s="32">
        <f t="shared" ref="D11" ca="1" si="173">D10*B10</f>
        <v>20.385173426261311</v>
      </c>
      <c r="E11" s="32">
        <f t="shared" ref="E11" ca="1" si="174">E10*B10</f>
        <v>19.810179068493206</v>
      </c>
      <c r="F11" s="32">
        <f t="shared" ref="F11" ca="1" si="175">F10*B10</f>
        <v>16.782509097458789</v>
      </c>
      <c r="G11" s="32">
        <f t="shared" ref="G11" ca="1" si="176">G10*B10</f>
        <v>16.198734971512298</v>
      </c>
      <c r="H11" s="32">
        <f t="shared" ref="H11" ca="1" si="177">H10*B10</f>
        <v>13.93918357068681</v>
      </c>
      <c r="I11" s="33">
        <f t="shared" ref="I11" ca="1" si="178">I10*B10</f>
        <v>13.574992729902691</v>
      </c>
      <c r="J11" s="33">
        <f t="shared" ref="J11" ca="1" si="179">J10*B10</f>
        <v>11.992080561566915</v>
      </c>
      <c r="K11" s="34">
        <f t="shared" ref="K11" ca="1" si="180">K10*B10</f>
        <v>10.996914467230662</v>
      </c>
      <c r="L11" s="34">
        <f t="shared" ref="L11" ca="1" si="181">L10*B10</f>
        <v>10.38959635482381</v>
      </c>
      <c r="M11" s="34">
        <f t="shared" ref="M11" ca="1" si="182">M10*B10</f>
        <v>8.4402752793047</v>
      </c>
      <c r="N11" s="34">
        <f t="shared" ref="N11" ca="1" si="183">N10*B10</f>
        <v>7.6578462887876881</v>
      </c>
      <c r="O11" s="34">
        <f t="shared" ref="O11" ca="1" si="184">O10*B10</f>
        <v>6.6681723278524085</v>
      </c>
      <c r="P11" s="34">
        <f t="shared" ref="P11" ca="1" si="185">B10*P10</f>
        <v>5.8372273586966665</v>
      </c>
      <c r="Q11" s="34">
        <f t="shared" ref="Q11" ca="1" si="186">Q10*B10</f>
        <v>5.2005261352397545</v>
      </c>
      <c r="R11" s="34">
        <f t="shared" ref="R11" ca="1" si="187">R10*B10</f>
        <v>5.2871657726096579</v>
      </c>
      <c r="S11" s="34">
        <f t="shared" ref="S11" ca="1" si="188">S10*B10</f>
        <v>5.1236249361849922</v>
      </c>
      <c r="T11" s="34">
        <f t="shared" ref="T11" ca="1" si="189">T10*B10</f>
        <v>5.1017079937830658</v>
      </c>
      <c r="U11" s="34">
        <f t="shared" ref="U11" ca="1" si="190">U10*B10</f>
        <v>4.5875014716369114</v>
      </c>
      <c r="V11" s="34">
        <f t="shared" ref="V11" ca="1" si="191">V10*B10</f>
        <v>4.4831368905518749</v>
      </c>
      <c r="W11" s="34">
        <f t="shared" ref="W11" ca="1" si="192">W10*B10</f>
        <v>4.5638752578494728</v>
      </c>
      <c r="X11" s="34">
        <f t="shared" ref="X11" ca="1" si="193">X10*B10</f>
        <v>4.3051771051486591</v>
      </c>
      <c r="Y11" s="34">
        <f t="shared" ref="Y11" ca="1" si="194">Y10*B10</f>
        <v>4.327315238715471</v>
      </c>
      <c r="Z11" s="34">
        <f t="shared" ref="Z11" ca="1" si="195">Z10*B10</f>
        <v>4.4778403681451895</v>
      </c>
      <c r="AA11" s="34">
        <f t="shared" ref="AA11" ca="1" si="196">AA10*B10</f>
        <v>4.1383107531585654</v>
      </c>
      <c r="AB11" s="28"/>
      <c r="AC11" s="28"/>
      <c r="AD11" s="28"/>
      <c r="AE11" s="28"/>
    </row>
    <row r="12" spans="1:31" x14ac:dyDescent="0.15">
      <c r="A12" s="59">
        <v>43059</v>
      </c>
      <c r="B12" s="60">
        <f t="shared" ref="B12" ca="1" si="197">RANDBETWEEN(10,150)</f>
        <v>149</v>
      </c>
      <c r="C12" s="31">
        <f t="shared" ref="C12" ca="1" si="198">RAND()*0.2+0.6</f>
        <v>0.60719974673232613</v>
      </c>
      <c r="D12" s="31">
        <f t="shared" ref="D12:E12" ca="1" si="199">RAND()*0.1+0.5</f>
        <v>0.50849250748126762</v>
      </c>
      <c r="E12" s="31">
        <f t="shared" ca="1" si="199"/>
        <v>0.51520325814635093</v>
      </c>
      <c r="F12" s="31">
        <f t="shared" ref="F12" ca="1" si="200">RAND()*0.05+0.45</f>
        <v>0.46869433695897972</v>
      </c>
      <c r="G12" s="31">
        <f t="shared" ref="G12" ca="1" si="201">RAND()*0.05+0.4</f>
        <v>0.43298347993405722</v>
      </c>
      <c r="H12" s="31">
        <f t="shared" ref="H12" ca="1" si="202">RAND()*0.025+0.375</f>
        <v>0.38071247135145075</v>
      </c>
      <c r="I12" s="31">
        <f t="shared" ref="I12" ca="1" si="203">RAND()*0.02+0.35</f>
        <v>0.36282772968424215</v>
      </c>
      <c r="J12" s="31">
        <f t="shared" ref="J12" ca="1" si="204">RAND()*0.025+0.3</f>
        <v>0.3064953842580147</v>
      </c>
      <c r="K12" s="31">
        <f t="shared" ref="K12" ca="1" si="205">RAND()*0.01+0.29</f>
        <v>0.29407175573184718</v>
      </c>
      <c r="L12" s="31">
        <f t="shared" ref="L12" ca="1" si="206">RAND()*0.01+0.28</f>
        <v>0.2814905907235451</v>
      </c>
      <c r="M12" s="31">
        <f t="shared" ref="M12" ca="1" si="207">RAND()*0.01+0.22</f>
        <v>0.22458277940804267</v>
      </c>
      <c r="N12" s="31">
        <f t="shared" ref="N12" ca="1" si="208">RAND()*0.02+0.2</f>
        <v>0.21688727924432313</v>
      </c>
      <c r="O12" s="31">
        <f t="shared" ref="O12" ca="1" si="209">RAND()*0.01+0.18</f>
        <v>0.18934135657039358</v>
      </c>
      <c r="P12" s="31">
        <f t="shared" ref="P12" ca="1" si="210">RAND()*0.01+0.15</f>
        <v>0.15603159180824602</v>
      </c>
      <c r="Q12" s="31">
        <f t="shared" ref="Q12" ca="1" si="211">RAND()*0.01+0.14</f>
        <v>0.14493490797433173</v>
      </c>
      <c r="R12" s="31">
        <f t="shared" ref="R12:T12" ca="1" si="212">RAND()*0.01+0.135</f>
        <v>0.14202359848748553</v>
      </c>
      <c r="S12" s="31">
        <f t="shared" ca="1" si="212"/>
        <v>0.14223032002821392</v>
      </c>
      <c r="T12" s="31">
        <f t="shared" ca="1" si="212"/>
        <v>0.14166618216821139</v>
      </c>
      <c r="U12" s="31">
        <f t="shared" ref="U12:V12" ca="1" si="213">RAND()*0.01+0.12</f>
        <v>0.1230032329788044</v>
      </c>
      <c r="V12" s="31">
        <f t="shared" ca="1" si="213"/>
        <v>0.12496535753536989</v>
      </c>
      <c r="W12" s="31">
        <f t="shared" ref="W12" ca="1" si="214">RAND()*0.01+0.118</f>
        <v>0.11879148390587847</v>
      </c>
      <c r="X12" s="31">
        <f t="shared" ref="X12" ca="1" si="215">RAND()*0.01+0.115</f>
        <v>0.12421128286685791</v>
      </c>
      <c r="Y12" s="31">
        <f t="shared" ref="Y12" ca="1" si="216">RAND()*0.01+0.114</f>
        <v>0.11883163220237929</v>
      </c>
      <c r="Z12" s="31">
        <f t="shared" ref="Z12" ca="1" si="217">RAND()*0.01+0.112</f>
        <v>0.12157383427722213</v>
      </c>
      <c r="AA12" s="28"/>
      <c r="AB12" s="28"/>
      <c r="AC12" s="28"/>
      <c r="AD12" s="28"/>
      <c r="AE12" s="28"/>
    </row>
    <row r="13" spans="1:31" x14ac:dyDescent="0.15">
      <c r="A13" s="60"/>
      <c r="B13" s="60"/>
      <c r="C13" s="32">
        <f t="shared" ref="C13" ca="1" si="218">C12*B12</f>
        <v>90.472762263116593</v>
      </c>
      <c r="D13" s="32">
        <f t="shared" ref="D13" ca="1" si="219">D12*B12</f>
        <v>75.765383614708881</v>
      </c>
      <c r="E13" s="32">
        <f t="shared" ref="E13" ca="1" si="220">E12*B12</f>
        <v>76.765285463806293</v>
      </c>
      <c r="F13" s="32">
        <f t="shared" ref="F13" ca="1" si="221">F12*B12</f>
        <v>69.835456206887983</v>
      </c>
      <c r="G13" s="32">
        <f t="shared" ref="G13" ca="1" si="222">G12*B12</f>
        <v>64.514538510174532</v>
      </c>
      <c r="H13" s="32">
        <f t="shared" ref="H13" ca="1" si="223">H12*B12</f>
        <v>56.726158231366163</v>
      </c>
      <c r="I13" s="33">
        <f t="shared" ref="I13" ca="1" si="224">I12*B12</f>
        <v>54.061331722952083</v>
      </c>
      <c r="J13" s="33">
        <f t="shared" ref="J13" ca="1" si="225">J12*B12</f>
        <v>45.667812254444193</v>
      </c>
      <c r="K13" s="34">
        <f t="shared" ref="K13" ca="1" si="226">K12*B12</f>
        <v>43.816691604045232</v>
      </c>
      <c r="L13" s="34">
        <f t="shared" ref="L13" ca="1" si="227">L12*B12</f>
        <v>41.94209801780822</v>
      </c>
      <c r="M13" s="34">
        <f t="shared" ref="M13" ca="1" si="228">M12*B12</f>
        <v>33.46283413179836</v>
      </c>
      <c r="N13" s="34">
        <f t="shared" ref="N13" ca="1" si="229">N12*B12</f>
        <v>32.316204607404146</v>
      </c>
      <c r="O13" s="34">
        <f t="shared" ref="O13" ca="1" si="230">O12*B12</f>
        <v>28.211862128988642</v>
      </c>
      <c r="P13" s="34">
        <f t="shared" ref="P13" ca="1" si="231">B12*P12</f>
        <v>23.248707179428656</v>
      </c>
      <c r="Q13" s="34">
        <f t="shared" ref="Q13" ca="1" si="232">Q12*B12</f>
        <v>21.595301288175428</v>
      </c>
      <c r="R13" s="34">
        <f t="shared" ref="R13" ca="1" si="233">R12*B12</f>
        <v>21.161516174635342</v>
      </c>
      <c r="S13" s="34">
        <f t="shared" ref="S13" ca="1" si="234">S12*B12</f>
        <v>21.192317684203875</v>
      </c>
      <c r="T13" s="34">
        <f t="shared" ref="T13" ca="1" si="235">T12*B12</f>
        <v>21.108261143063498</v>
      </c>
      <c r="U13" s="34">
        <f t="shared" ref="U13" ca="1" si="236">U12*B12</f>
        <v>18.327481713841856</v>
      </c>
      <c r="V13" s="34">
        <f t="shared" ref="V13" ca="1" si="237">V12*B12</f>
        <v>18.619838272770114</v>
      </c>
      <c r="W13" s="34">
        <f t="shared" ref="W13" ca="1" si="238">W12*B12</f>
        <v>17.699931101975892</v>
      </c>
      <c r="X13" s="34">
        <f t="shared" ref="X13" ca="1" si="239">X12*B12</f>
        <v>18.50748114716183</v>
      </c>
      <c r="Y13" s="34">
        <f t="shared" ref="Y13" ca="1" si="240">Y12*B12</f>
        <v>17.705913198154512</v>
      </c>
      <c r="Z13" s="34">
        <f t="shared" ref="Z13" ca="1" si="241">Z12*B12</f>
        <v>18.114501307306096</v>
      </c>
      <c r="AA13" s="28"/>
      <c r="AB13" s="28"/>
      <c r="AC13" s="28"/>
      <c r="AD13" s="28"/>
      <c r="AE13" s="28"/>
    </row>
    <row r="14" spans="1:31" x14ac:dyDescent="0.15">
      <c r="A14" s="59">
        <v>43060</v>
      </c>
      <c r="B14" s="60">
        <f t="shared" ref="B14" ca="1" si="242">RANDBETWEEN(10,150)</f>
        <v>144</v>
      </c>
      <c r="C14" s="31">
        <f t="shared" ref="C14" ca="1" si="243">RAND()*0.2+0.6</f>
        <v>0.67604549336045616</v>
      </c>
      <c r="D14" s="31">
        <f t="shared" ref="D14:E14" ca="1" si="244">RAND()*0.1+0.5</f>
        <v>0.50355263981495302</v>
      </c>
      <c r="E14" s="31">
        <f t="shared" ca="1" si="244"/>
        <v>0.53957926797614775</v>
      </c>
      <c r="F14" s="31">
        <f t="shared" ref="F14" ca="1" si="245">RAND()*0.05+0.45</f>
        <v>0.47770957449394874</v>
      </c>
      <c r="G14" s="31">
        <f t="shared" ref="G14" ca="1" si="246">RAND()*0.05+0.4</f>
        <v>0.41050405520363775</v>
      </c>
      <c r="H14" s="31">
        <f t="shared" ref="H14" ca="1" si="247">RAND()*0.025+0.375</f>
        <v>0.37862373640916858</v>
      </c>
      <c r="I14" s="31">
        <f t="shared" ref="I14" ca="1" si="248">RAND()*0.02+0.35</f>
        <v>0.36951192371363695</v>
      </c>
      <c r="J14" s="31">
        <f t="shared" ref="J14" ca="1" si="249">RAND()*0.025+0.3</f>
        <v>0.30282205739362406</v>
      </c>
      <c r="K14" s="31">
        <f t="shared" ref="K14" ca="1" si="250">RAND()*0.01+0.29</f>
        <v>0.29925513275910043</v>
      </c>
      <c r="L14" s="31">
        <f t="shared" ref="L14" ca="1" si="251">RAND()*0.01+0.28</f>
        <v>0.28061578245480334</v>
      </c>
      <c r="M14" s="31">
        <f t="shared" ref="M14" ca="1" si="252">RAND()*0.01+0.22</f>
        <v>0.220592956243817</v>
      </c>
      <c r="N14" s="31">
        <f t="shared" ref="N14" ca="1" si="253">RAND()*0.02+0.2</f>
        <v>0.20687006594781593</v>
      </c>
      <c r="O14" s="31">
        <f t="shared" ref="O14" ca="1" si="254">RAND()*0.01+0.18</f>
        <v>0.18606240290873605</v>
      </c>
      <c r="P14" s="31">
        <f t="shared" ref="P14" ca="1" si="255">RAND()*0.01+0.15</f>
        <v>0.15822695105884421</v>
      </c>
      <c r="Q14" s="31">
        <f t="shared" ref="Q14" ca="1" si="256">RAND()*0.01+0.14</f>
        <v>0.14080343351197097</v>
      </c>
      <c r="R14" s="31">
        <f t="shared" ref="R14:T14" ca="1" si="257">RAND()*0.01+0.135</f>
        <v>0.14024256222984743</v>
      </c>
      <c r="S14" s="31">
        <f t="shared" ca="1" si="257"/>
        <v>0.14087557375837803</v>
      </c>
      <c r="T14" s="31">
        <f t="shared" ca="1" si="257"/>
        <v>0.1449068312528522</v>
      </c>
      <c r="U14" s="31">
        <f t="shared" ref="U14:V14" ca="1" si="258">RAND()*0.01+0.12</f>
        <v>0.12952374265715294</v>
      </c>
      <c r="V14" s="31">
        <f t="shared" ca="1" si="258"/>
        <v>0.12391773021251387</v>
      </c>
      <c r="W14" s="31">
        <f t="shared" ref="W14" ca="1" si="259">RAND()*0.01+0.118</f>
        <v>0.12140571284626277</v>
      </c>
      <c r="X14" s="31">
        <f t="shared" ref="X14" ca="1" si="260">RAND()*0.01+0.115</f>
        <v>0.12431572482686117</v>
      </c>
      <c r="Y14" s="31">
        <f t="shared" ref="Y14" ca="1" si="261">RAND()*0.01+0.114</f>
        <v>0.11867064146648734</v>
      </c>
      <c r="Z14" s="28"/>
      <c r="AA14" s="28"/>
      <c r="AB14" s="28"/>
      <c r="AC14" s="28"/>
      <c r="AD14" s="28"/>
      <c r="AE14" s="28"/>
    </row>
    <row r="15" spans="1:31" x14ac:dyDescent="0.15">
      <c r="A15" s="60"/>
      <c r="B15" s="60"/>
      <c r="C15" s="32">
        <f t="shared" ref="C15" ca="1" si="262">C14*B14</f>
        <v>97.350551043905682</v>
      </c>
      <c r="D15" s="32">
        <f t="shared" ref="D15" ca="1" si="263">D14*B14</f>
        <v>72.511580133353235</v>
      </c>
      <c r="E15" s="32">
        <f t="shared" ref="E15" ca="1" si="264">E14*B14</f>
        <v>77.699414588565276</v>
      </c>
      <c r="F15" s="32">
        <f t="shared" ref="F15" ca="1" si="265">F14*B14</f>
        <v>68.79017872712862</v>
      </c>
      <c r="G15" s="32">
        <f t="shared" ref="G15" ca="1" si="266">G14*B14</f>
        <v>59.112583949323835</v>
      </c>
      <c r="H15" s="32">
        <f t="shared" ref="H15" ca="1" si="267">H14*B14</f>
        <v>54.521818042920273</v>
      </c>
      <c r="I15" s="33">
        <f t="shared" ref="I15" ca="1" si="268">I14*B14</f>
        <v>53.209717014763719</v>
      </c>
      <c r="J15" s="33">
        <f t="shared" ref="J15" ca="1" si="269">J14*B14</f>
        <v>43.606376264681863</v>
      </c>
      <c r="K15" s="34">
        <f t="shared" ref="K15" ca="1" si="270">K14*B14</f>
        <v>43.092739117310458</v>
      </c>
      <c r="L15" s="34">
        <f t="shared" ref="L15" ca="1" si="271">L14*B14</f>
        <v>40.408672673491679</v>
      </c>
      <c r="M15" s="34">
        <f t="shared" ref="M15" ca="1" si="272">M14*B14</f>
        <v>31.765385699109647</v>
      </c>
      <c r="N15" s="34">
        <f t="shared" ref="N15" ca="1" si="273">N14*B14</f>
        <v>29.789289496485495</v>
      </c>
      <c r="O15" s="34">
        <f t="shared" ref="O15" ca="1" si="274">O14*B14</f>
        <v>26.792986018857992</v>
      </c>
      <c r="P15" s="34">
        <f t="shared" ref="P15" ca="1" si="275">B14*P14</f>
        <v>22.784680952473565</v>
      </c>
      <c r="Q15" s="34">
        <f t="shared" ref="Q15" ca="1" si="276">Q14*B14</f>
        <v>20.27569442572382</v>
      </c>
      <c r="R15" s="34">
        <f t="shared" ref="R15" ca="1" si="277">R14*B14</f>
        <v>20.194928961098029</v>
      </c>
      <c r="S15" s="34">
        <f t="shared" ref="S15" ca="1" si="278">S14*B14</f>
        <v>20.286082621206436</v>
      </c>
      <c r="T15" s="34">
        <f t="shared" ref="T15" ca="1" si="279">T14*B14</f>
        <v>20.866583700410715</v>
      </c>
      <c r="U15" s="34">
        <f t="shared" ref="U15" ca="1" si="280">U14*B14</f>
        <v>18.651418942630023</v>
      </c>
      <c r="V15" s="34">
        <f t="shared" ref="V15" ca="1" si="281">V14*B14</f>
        <v>17.844153150601997</v>
      </c>
      <c r="W15" s="34">
        <f t="shared" ref="W15" ca="1" si="282">W14*B14</f>
        <v>17.482422649861839</v>
      </c>
      <c r="X15" s="34">
        <f t="shared" ref="X15" ca="1" si="283">X14*B14</f>
        <v>17.901464375068009</v>
      </c>
      <c r="Y15" s="34">
        <f t="shared" ref="Y15" ca="1" si="284">Y14*B14</f>
        <v>17.088572371174177</v>
      </c>
      <c r="Z15" s="28"/>
      <c r="AA15" s="28"/>
      <c r="AB15" s="28"/>
      <c r="AC15" s="28"/>
      <c r="AD15" s="28"/>
      <c r="AE15" s="28"/>
    </row>
    <row r="16" spans="1:31" x14ac:dyDescent="0.15">
      <c r="A16" s="59">
        <v>43061</v>
      </c>
      <c r="B16" s="60">
        <f t="shared" ref="B16" ca="1" si="285">RANDBETWEEN(10,150)</f>
        <v>80</v>
      </c>
      <c r="C16" s="31">
        <f t="shared" ref="C16" ca="1" si="286">RAND()*0.2+0.6</f>
        <v>0.62153276833040372</v>
      </c>
      <c r="D16" s="31">
        <f t="shared" ref="D16:E16" ca="1" si="287">RAND()*0.1+0.5</f>
        <v>0.50690074113218309</v>
      </c>
      <c r="E16" s="31">
        <f t="shared" ca="1" si="287"/>
        <v>0.54527969784764196</v>
      </c>
      <c r="F16" s="31">
        <f t="shared" ref="F16" ca="1" si="288">RAND()*0.05+0.45</f>
        <v>0.4991744120021393</v>
      </c>
      <c r="G16" s="31">
        <f t="shared" ref="G16" ca="1" si="289">RAND()*0.05+0.4</f>
        <v>0.43001028836762428</v>
      </c>
      <c r="H16" s="31">
        <f t="shared" ref="H16" ca="1" si="290">RAND()*0.025+0.375</f>
        <v>0.39999923557568234</v>
      </c>
      <c r="I16" s="31">
        <f t="shared" ref="I16" ca="1" si="291">RAND()*0.02+0.35</f>
        <v>0.36273836396935388</v>
      </c>
      <c r="J16" s="31">
        <f t="shared" ref="J16" ca="1" si="292">RAND()*0.025+0.3</f>
        <v>0.32082368448334636</v>
      </c>
      <c r="K16" s="31">
        <f t="shared" ref="K16" ca="1" si="293">RAND()*0.01+0.29</f>
        <v>0.2981499891886214</v>
      </c>
      <c r="L16" s="31">
        <f t="shared" ref="L16" ca="1" si="294">RAND()*0.01+0.28</f>
        <v>0.28645603109079054</v>
      </c>
      <c r="M16" s="31">
        <f t="shared" ref="M16" ca="1" si="295">RAND()*0.01+0.22</f>
        <v>0.22976341001440104</v>
      </c>
      <c r="N16" s="31">
        <f t="shared" ref="N16" ca="1" si="296">RAND()*0.02+0.2</f>
        <v>0.20083564485388355</v>
      </c>
      <c r="O16" s="31">
        <f t="shared" ref="O16" ca="1" si="297">RAND()*0.01+0.18</f>
        <v>0.18566617024598486</v>
      </c>
      <c r="P16" s="31">
        <f t="shared" ref="P16" ca="1" si="298">RAND()*0.01+0.15</f>
        <v>0.15005677471350945</v>
      </c>
      <c r="Q16" s="31">
        <f t="shared" ref="Q16" ca="1" si="299">RAND()*0.01+0.14</f>
        <v>0.14881989925296812</v>
      </c>
      <c r="R16" s="31">
        <f t="shared" ref="R16:T16" ca="1" si="300">RAND()*0.01+0.135</f>
        <v>0.14040299515295618</v>
      </c>
      <c r="S16" s="31">
        <f t="shared" ca="1" si="300"/>
        <v>0.13531479950228056</v>
      </c>
      <c r="T16" s="31">
        <f t="shared" ca="1" si="300"/>
        <v>0.14004300132359465</v>
      </c>
      <c r="U16" s="31">
        <f t="shared" ref="U16:V16" ca="1" si="301">RAND()*0.01+0.12</f>
        <v>0.12015104123543364</v>
      </c>
      <c r="V16" s="31">
        <f t="shared" ca="1" si="301"/>
        <v>0.12139704358206364</v>
      </c>
      <c r="W16" s="31">
        <f t="shared" ref="W16" ca="1" si="302">RAND()*0.01+0.118</f>
        <v>0.12043565241392568</v>
      </c>
      <c r="X16" s="31">
        <f t="shared" ref="X16" ca="1" si="303">RAND()*0.01+0.115</f>
        <v>0.12264358766527581</v>
      </c>
      <c r="Y16" s="28"/>
      <c r="Z16" s="28"/>
      <c r="AA16" s="28"/>
      <c r="AB16" s="28"/>
      <c r="AC16" s="28"/>
      <c r="AD16" s="28"/>
      <c r="AE16" s="28"/>
    </row>
    <row r="17" spans="1:31" x14ac:dyDescent="0.15">
      <c r="A17" s="60"/>
      <c r="B17" s="60"/>
      <c r="C17" s="32">
        <f t="shared" ref="C17" ca="1" si="304">C16*B16</f>
        <v>49.722621466432301</v>
      </c>
      <c r="D17" s="32">
        <f t="shared" ref="D17" ca="1" si="305">D16*B16</f>
        <v>40.552059290574647</v>
      </c>
      <c r="E17" s="32">
        <f t="shared" ref="E17" ca="1" si="306">E16*B16</f>
        <v>43.622375827811354</v>
      </c>
      <c r="F17" s="32">
        <f t="shared" ref="F17" ca="1" si="307">F16*B16</f>
        <v>39.93395296017114</v>
      </c>
      <c r="G17" s="32">
        <f t="shared" ref="G17" ca="1" si="308">G16*B16</f>
        <v>34.400823069409945</v>
      </c>
      <c r="H17" s="32">
        <f t="shared" ref="H17" ca="1" si="309">H16*B16</f>
        <v>31.999938846054587</v>
      </c>
      <c r="I17" s="33">
        <f t="shared" ref="I17" ca="1" si="310">I16*B16</f>
        <v>29.019069117548312</v>
      </c>
      <c r="J17" s="33">
        <f t="shared" ref="J17" ca="1" si="311">J16*B16</f>
        <v>25.665894758667708</v>
      </c>
      <c r="K17" s="34">
        <f t="shared" ref="K17" ca="1" si="312">K16*B16</f>
        <v>23.851999135089713</v>
      </c>
      <c r="L17" s="34">
        <f t="shared" ref="L17" ca="1" si="313">L16*B16</f>
        <v>22.916482487263245</v>
      </c>
      <c r="M17" s="34">
        <f t="shared" ref="M17" ca="1" si="314">M16*B16</f>
        <v>18.381072801152083</v>
      </c>
      <c r="N17" s="34">
        <f t="shared" ref="N17" ca="1" si="315">N16*B16</f>
        <v>16.066851588310683</v>
      </c>
      <c r="O17" s="34">
        <f t="shared" ref="O17" ca="1" si="316">O16*B16</f>
        <v>14.853293619678789</v>
      </c>
      <c r="P17" s="34">
        <f t="shared" ref="P17" ca="1" si="317">B16*P16</f>
        <v>12.004541977080756</v>
      </c>
      <c r="Q17" s="34">
        <f t="shared" ref="Q17" ca="1" si="318">Q16*B16</f>
        <v>11.90559194023745</v>
      </c>
      <c r="R17" s="34">
        <f t="shared" ref="R17" ca="1" si="319">R16*B16</f>
        <v>11.232239612236494</v>
      </c>
      <c r="S17" s="34">
        <f t="shared" ref="S17" ca="1" si="320">S16*B16</f>
        <v>10.825183960182445</v>
      </c>
      <c r="T17" s="34">
        <f t="shared" ref="T17" ca="1" si="321">T16*B16</f>
        <v>11.203440105887573</v>
      </c>
      <c r="U17" s="34">
        <f t="shared" ref="U17" ca="1" si="322">U16*B16</f>
        <v>9.6120832988346923</v>
      </c>
      <c r="V17" s="34">
        <f t="shared" ref="V17" ca="1" si="323">V16*B16</f>
        <v>9.7117634865650917</v>
      </c>
      <c r="W17" s="34">
        <f t="shared" ref="W17" ca="1" si="324">W16*B16</f>
        <v>9.6348521931140532</v>
      </c>
      <c r="X17" s="34">
        <f t="shared" ref="X17" ca="1" si="325">X16*B16</f>
        <v>9.8114870132220648</v>
      </c>
      <c r="Y17" s="28"/>
      <c r="Z17" s="28"/>
      <c r="AA17" s="28"/>
      <c r="AB17" s="28"/>
      <c r="AC17" s="28"/>
      <c r="AD17" s="28"/>
      <c r="AE17" s="28"/>
    </row>
    <row r="18" spans="1:31" x14ac:dyDescent="0.15">
      <c r="A18" s="59">
        <v>43062</v>
      </c>
      <c r="B18" s="60">
        <f t="shared" ref="B18" ca="1" si="326">RANDBETWEEN(10,150)</f>
        <v>28</v>
      </c>
      <c r="C18" s="31">
        <f t="shared" ref="C18" ca="1" si="327">RAND()*0.2+0.6</f>
        <v>0.69199321835732008</v>
      </c>
      <c r="D18" s="31">
        <f t="shared" ref="D18:E18" ca="1" si="328">RAND()*0.1+0.5</f>
        <v>0.59366525450294216</v>
      </c>
      <c r="E18" s="31">
        <f t="shared" ca="1" si="328"/>
        <v>0.54003216075315619</v>
      </c>
      <c r="F18" s="31">
        <f t="shared" ref="F18" ca="1" si="329">RAND()*0.05+0.45</f>
        <v>0.47019744003574199</v>
      </c>
      <c r="G18" s="31">
        <f t="shared" ref="G18" ca="1" si="330">RAND()*0.05+0.4</f>
        <v>0.44069901164417197</v>
      </c>
      <c r="H18" s="31">
        <f t="shared" ref="H18" ca="1" si="331">RAND()*0.025+0.375</f>
        <v>0.37764970190114661</v>
      </c>
      <c r="I18" s="31">
        <f t="shared" ref="I18" ca="1" si="332">RAND()*0.02+0.35</f>
        <v>0.36241744496936235</v>
      </c>
      <c r="J18" s="31">
        <f t="shared" ref="J18" ca="1" si="333">RAND()*0.025+0.3</f>
        <v>0.31041870198148569</v>
      </c>
      <c r="K18" s="31">
        <f t="shared" ref="K18" ca="1" si="334">RAND()*0.01+0.29</f>
        <v>0.29560748274065268</v>
      </c>
      <c r="L18" s="31">
        <f t="shared" ref="L18" ca="1" si="335">RAND()*0.01+0.28</f>
        <v>0.28964201827346153</v>
      </c>
      <c r="M18" s="31">
        <f t="shared" ref="M18" ca="1" si="336">RAND()*0.01+0.22</f>
        <v>0.22682983918792143</v>
      </c>
      <c r="N18" s="31">
        <f t="shared" ref="N18" ca="1" si="337">RAND()*0.02+0.2</f>
        <v>0.21437044719623738</v>
      </c>
      <c r="O18" s="31">
        <f t="shared" ref="O18" ca="1" si="338">RAND()*0.01+0.18</f>
        <v>0.18572569858470656</v>
      </c>
      <c r="P18" s="31">
        <f t="shared" ref="P18" ca="1" si="339">RAND()*0.01+0.15</f>
        <v>0.15093491710791043</v>
      </c>
      <c r="Q18" s="31">
        <f t="shared" ref="Q18" ca="1" si="340">RAND()*0.01+0.14</f>
        <v>0.14591520878859118</v>
      </c>
      <c r="R18" s="31">
        <f t="shared" ref="R18:T18" ca="1" si="341">RAND()*0.01+0.135</f>
        <v>0.13920222087401832</v>
      </c>
      <c r="S18" s="31">
        <f t="shared" ca="1" si="341"/>
        <v>0.14114476456055292</v>
      </c>
      <c r="T18" s="31">
        <f t="shared" ca="1" si="341"/>
        <v>0.1440786000879011</v>
      </c>
      <c r="U18" s="31">
        <f t="shared" ref="U18:V18" ca="1" si="342">RAND()*0.01+0.12</f>
        <v>0.12453478802150406</v>
      </c>
      <c r="V18" s="31">
        <f t="shared" ca="1" si="342"/>
        <v>0.12446996241468151</v>
      </c>
      <c r="W18" s="31">
        <f t="shared" ref="W18" ca="1" si="343">RAND()*0.01+0.118</f>
        <v>0.12153638064113287</v>
      </c>
      <c r="X18" s="28"/>
      <c r="Y18" s="28"/>
      <c r="Z18" s="28"/>
      <c r="AA18" s="28"/>
      <c r="AB18" s="28"/>
      <c r="AC18" s="28"/>
      <c r="AD18" s="28"/>
      <c r="AE18" s="28"/>
    </row>
    <row r="19" spans="1:31" x14ac:dyDescent="0.15">
      <c r="A19" s="60"/>
      <c r="B19" s="60"/>
      <c r="C19" s="32">
        <f t="shared" ref="C19" ca="1" si="344">C18*B18</f>
        <v>19.375810114004963</v>
      </c>
      <c r="D19" s="32">
        <f t="shared" ref="D19" ca="1" si="345">D18*B18</f>
        <v>16.622627126082381</v>
      </c>
      <c r="E19" s="32">
        <f t="shared" ref="E19" ca="1" si="346">E18*B18</f>
        <v>15.120900501088373</v>
      </c>
      <c r="F19" s="32">
        <f t="shared" ref="F19" ca="1" si="347">F18*B18</f>
        <v>13.165528321000776</v>
      </c>
      <c r="G19" s="32">
        <f t="shared" ref="G19" ca="1" si="348">G18*B18</f>
        <v>12.339572326036816</v>
      </c>
      <c r="H19" s="32">
        <f t="shared" ref="H19" ca="1" si="349">H18*B18</f>
        <v>10.574191653232106</v>
      </c>
      <c r="I19" s="33">
        <f t="shared" ref="I19" ca="1" si="350">I18*B18</f>
        <v>10.147688459142145</v>
      </c>
      <c r="J19" s="33">
        <f t="shared" ref="J19" ca="1" si="351">J18*B18</f>
        <v>8.6917236554815993</v>
      </c>
      <c r="K19" s="34">
        <f t="shared" ref="K19" ca="1" si="352">K18*B18</f>
        <v>8.2770095167382749</v>
      </c>
      <c r="L19" s="34">
        <f t="shared" ref="L19" ca="1" si="353">L18*B18</f>
        <v>8.1099765116569227</v>
      </c>
      <c r="M19" s="34">
        <f t="shared" ref="M19" ca="1" si="354">M18*B18</f>
        <v>6.3512354972618006</v>
      </c>
      <c r="N19" s="34">
        <f t="shared" ref="N19" ca="1" si="355">N18*B18</f>
        <v>6.0023725214946468</v>
      </c>
      <c r="O19" s="34">
        <f t="shared" ref="O19" ca="1" si="356">O18*B18</f>
        <v>5.2003195603717831</v>
      </c>
      <c r="P19" s="34">
        <f t="shared" ref="P19" ca="1" si="357">B18*P18</f>
        <v>4.2261776790214922</v>
      </c>
      <c r="Q19" s="34">
        <f t="shared" ref="Q19" ca="1" si="358">Q18*B18</f>
        <v>4.0856258460805535</v>
      </c>
      <c r="R19" s="34">
        <f t="shared" ref="R19" ca="1" si="359">R18*B18</f>
        <v>3.8976621844725128</v>
      </c>
      <c r="S19" s="34">
        <f t="shared" ref="S19" ca="1" si="360">S18*B18</f>
        <v>3.9520534076954816</v>
      </c>
      <c r="T19" s="34">
        <f t="shared" ref="T19" ca="1" si="361">T18*B18</f>
        <v>4.034200802461231</v>
      </c>
      <c r="U19" s="34">
        <f t="shared" ref="U19" ca="1" si="362">U18*B18</f>
        <v>3.4869740646021135</v>
      </c>
      <c r="V19" s="34">
        <f t="shared" ref="V19" ca="1" si="363">V18*B18</f>
        <v>3.4851589476110822</v>
      </c>
      <c r="W19" s="34">
        <f t="shared" ref="W19" ca="1" si="364">W18*B18</f>
        <v>3.4030186579517201</v>
      </c>
      <c r="X19" s="28"/>
      <c r="Y19" s="28"/>
      <c r="Z19" s="28"/>
      <c r="AA19" s="28"/>
      <c r="AB19" s="28"/>
      <c r="AC19" s="28"/>
      <c r="AD19" s="28"/>
      <c r="AE19" s="28"/>
    </row>
    <row r="20" spans="1:31" x14ac:dyDescent="0.15">
      <c r="A20" s="59">
        <v>43063</v>
      </c>
      <c r="B20" s="60">
        <f t="shared" ref="B20" ca="1" si="365">RANDBETWEEN(10,150)</f>
        <v>74</v>
      </c>
      <c r="C20" s="31">
        <f t="shared" ref="C20" ca="1" si="366">RAND()*0.2+0.6</f>
        <v>0.67492720080596558</v>
      </c>
      <c r="D20" s="31">
        <f t="shared" ref="D20:E20" ca="1" si="367">RAND()*0.1+0.5</f>
        <v>0.52053577251727912</v>
      </c>
      <c r="E20" s="31">
        <f t="shared" ca="1" si="367"/>
        <v>0.51857132275762674</v>
      </c>
      <c r="F20" s="31">
        <f t="shared" ref="F20" ca="1" si="368">RAND()*0.05+0.45</f>
        <v>0.49738365288207509</v>
      </c>
      <c r="G20" s="31">
        <f t="shared" ref="G20" ca="1" si="369">RAND()*0.05+0.4</f>
        <v>0.41864509606282402</v>
      </c>
      <c r="H20" s="31">
        <f t="shared" ref="H20" ca="1" si="370">RAND()*0.025+0.375</f>
        <v>0.39063585400718559</v>
      </c>
      <c r="I20" s="31">
        <f t="shared" ref="I20" ca="1" si="371">RAND()*0.02+0.35</f>
        <v>0.35924655420598067</v>
      </c>
      <c r="J20" s="31">
        <f t="shared" ref="J20" ca="1" si="372">RAND()*0.025+0.3</f>
        <v>0.30962770952728635</v>
      </c>
      <c r="K20" s="31">
        <f t="shared" ref="K20" ca="1" si="373">RAND()*0.01+0.29</f>
        <v>0.29532713821042633</v>
      </c>
      <c r="L20" s="31">
        <f t="shared" ref="L20" ca="1" si="374">RAND()*0.01+0.28</f>
        <v>0.28626633859191447</v>
      </c>
      <c r="M20" s="31">
        <f t="shared" ref="M20" ca="1" si="375">RAND()*0.01+0.22</f>
        <v>0.22655883793254974</v>
      </c>
      <c r="N20" s="31">
        <f t="shared" ref="N20" ca="1" si="376">RAND()*0.02+0.2</f>
        <v>0.21368273632742127</v>
      </c>
      <c r="O20" s="31">
        <f t="shared" ref="O20" ca="1" si="377">RAND()*0.01+0.18</f>
        <v>0.1837115507046915</v>
      </c>
      <c r="P20" s="31">
        <f t="shared" ref="P20" ca="1" si="378">RAND()*0.01+0.15</f>
        <v>0.15768572844289333</v>
      </c>
      <c r="Q20" s="31">
        <f t="shared" ref="Q20" ca="1" si="379">RAND()*0.01+0.14</f>
        <v>0.14061971816116739</v>
      </c>
      <c r="R20" s="31">
        <f t="shared" ref="R20:T20" ca="1" si="380">RAND()*0.01+0.135</f>
        <v>0.14038919123037852</v>
      </c>
      <c r="S20" s="31">
        <f t="shared" ca="1" si="380"/>
        <v>0.13763746564748447</v>
      </c>
      <c r="T20" s="31">
        <f t="shared" ca="1" si="380"/>
        <v>0.13845981068691021</v>
      </c>
      <c r="U20" s="31">
        <f t="shared" ref="U20:V20" ca="1" si="381">RAND()*0.01+0.12</f>
        <v>0.12592784053883102</v>
      </c>
      <c r="V20" s="31">
        <f t="shared" ca="1" si="381"/>
        <v>0.12440000545297833</v>
      </c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 x14ac:dyDescent="0.15">
      <c r="A21" s="60"/>
      <c r="B21" s="60"/>
      <c r="C21" s="32">
        <f t="shared" ref="C21" ca="1" si="382">C20*B20</f>
        <v>49.944612859641452</v>
      </c>
      <c r="D21" s="32">
        <f t="shared" ref="D21" ca="1" si="383">D20*B20</f>
        <v>38.519647166278652</v>
      </c>
      <c r="E21" s="32">
        <f t="shared" ref="E21" ca="1" si="384">E20*B20</f>
        <v>38.374277884064377</v>
      </c>
      <c r="F21" s="32">
        <f t="shared" ref="F21" ca="1" si="385">F20*B20</f>
        <v>36.806390313273553</v>
      </c>
      <c r="G21" s="32">
        <f t="shared" ref="G21" ca="1" si="386">G20*B20</f>
        <v>30.979737108648976</v>
      </c>
      <c r="H21" s="32">
        <f t="shared" ref="H21" ca="1" si="387">H20*B20</f>
        <v>28.907053196531734</v>
      </c>
      <c r="I21" s="33">
        <f t="shared" ref="I21" ca="1" si="388">I20*B20</f>
        <v>26.584245011242569</v>
      </c>
      <c r="J21" s="33">
        <f t="shared" ref="J21" ca="1" si="389">J20*B20</f>
        <v>22.912450505019191</v>
      </c>
      <c r="K21" s="34">
        <f t="shared" ref="K21" ca="1" si="390">K20*B20</f>
        <v>21.854208227571547</v>
      </c>
      <c r="L21" s="34">
        <f t="shared" ref="L21" ca="1" si="391">L20*B20</f>
        <v>21.183709055801671</v>
      </c>
      <c r="M21" s="34">
        <f t="shared" ref="M21" ca="1" si="392">M20*B20</f>
        <v>16.765354007008682</v>
      </c>
      <c r="N21" s="34">
        <f t="shared" ref="N21" ca="1" si="393">N20*B20</f>
        <v>15.812522488229174</v>
      </c>
      <c r="O21" s="34">
        <f t="shared" ref="O21" ca="1" si="394">O20*B20</f>
        <v>13.594654752147171</v>
      </c>
      <c r="P21" s="34">
        <f t="shared" ref="P21" ca="1" si="395">B20*P20</f>
        <v>11.668743904774107</v>
      </c>
      <c r="Q21" s="34">
        <f t="shared" ref="Q21" ca="1" si="396">Q20*B20</f>
        <v>10.405859143926387</v>
      </c>
      <c r="R21" s="34">
        <f t="shared" ref="R21" ca="1" si="397">R20*B20</f>
        <v>10.388800151048009</v>
      </c>
      <c r="S21" s="34">
        <f t="shared" ref="S21" ca="1" si="398">S20*B20</f>
        <v>10.185172457913851</v>
      </c>
      <c r="T21" s="34">
        <f t="shared" ref="T21" ca="1" si="399">T20*B20</f>
        <v>10.246025990831356</v>
      </c>
      <c r="U21" s="34">
        <f t="shared" ref="U21" ca="1" si="400">U20*B20</f>
        <v>9.318660199873495</v>
      </c>
      <c r="V21" s="34">
        <f t="shared" ref="V21" ca="1" si="401">V20*B20</f>
        <v>9.2056004035203962</v>
      </c>
      <c r="W21" s="28"/>
      <c r="X21" s="28"/>
      <c r="Y21" s="28"/>
      <c r="Z21" s="28"/>
      <c r="AA21" s="28"/>
      <c r="AB21" s="28"/>
      <c r="AC21" s="28"/>
      <c r="AD21" s="28"/>
      <c r="AE21" s="28"/>
    </row>
    <row r="22" spans="1:31" x14ac:dyDescent="0.15">
      <c r="A22" s="59">
        <v>43064</v>
      </c>
      <c r="B22" s="60">
        <f t="shared" ref="B22" ca="1" si="402">RANDBETWEEN(10,150)</f>
        <v>17</v>
      </c>
      <c r="C22" s="31">
        <f t="shared" ref="C22" ca="1" si="403">RAND()*0.2+0.6</f>
        <v>0.7593841236371307</v>
      </c>
      <c r="D22" s="31">
        <f t="shared" ref="D22:E22" ca="1" si="404">RAND()*0.1+0.5</f>
        <v>0.56920992066242293</v>
      </c>
      <c r="E22" s="31">
        <f t="shared" ca="1" si="404"/>
        <v>0.50903538808945104</v>
      </c>
      <c r="F22" s="31">
        <f t="shared" ref="F22" ca="1" si="405">RAND()*0.05+0.45</f>
        <v>0.45932741296853996</v>
      </c>
      <c r="G22" s="31">
        <f t="shared" ref="G22" ca="1" si="406">RAND()*0.05+0.4</f>
        <v>0.40222930989416383</v>
      </c>
      <c r="H22" s="31">
        <f t="shared" ref="H22" ca="1" si="407">RAND()*0.025+0.375</f>
        <v>0.39845555731245058</v>
      </c>
      <c r="I22" s="31">
        <f t="shared" ref="I22" ca="1" si="408">RAND()*0.02+0.35</f>
        <v>0.36395352257733937</v>
      </c>
      <c r="J22" s="31">
        <f t="shared" ref="J22" ca="1" si="409">RAND()*0.025+0.3</f>
        <v>0.3247578944393768</v>
      </c>
      <c r="K22" s="31">
        <f t="shared" ref="K22" ca="1" si="410">RAND()*0.01+0.29</f>
        <v>0.29902078555382117</v>
      </c>
      <c r="L22" s="31">
        <f t="shared" ref="L22" ca="1" si="411">RAND()*0.01+0.28</f>
        <v>0.28856443278492089</v>
      </c>
      <c r="M22" s="31">
        <f t="shared" ref="M22" ca="1" si="412">RAND()*0.01+0.22</f>
        <v>0.22233274203189965</v>
      </c>
      <c r="N22" s="31">
        <f t="shared" ref="N22" ca="1" si="413">RAND()*0.02+0.2</f>
        <v>0.21467991564899741</v>
      </c>
      <c r="O22" s="31">
        <f t="shared" ref="O22" ca="1" si="414">RAND()*0.01+0.18</f>
        <v>0.18620711719056196</v>
      </c>
      <c r="P22" s="31">
        <f t="shared" ref="P22" ca="1" si="415">RAND()*0.01+0.15</f>
        <v>0.15437463453349895</v>
      </c>
      <c r="Q22" s="31">
        <f t="shared" ref="Q22" ca="1" si="416">RAND()*0.01+0.14</f>
        <v>0.1422970680388467</v>
      </c>
      <c r="R22" s="31">
        <f t="shared" ref="R22:T22" ca="1" si="417">RAND()*0.01+0.135</f>
        <v>0.14156426190139904</v>
      </c>
      <c r="S22" s="31">
        <f t="shared" ca="1" si="417"/>
        <v>0.14113003189553935</v>
      </c>
      <c r="T22" s="31">
        <f t="shared" ca="1" si="417"/>
        <v>0.14039539988605645</v>
      </c>
      <c r="U22" s="31">
        <f t="shared" ref="U22" ca="1" si="418">RAND()*0.01+0.12</f>
        <v>0.12123028670089388</v>
      </c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spans="1:31" x14ac:dyDescent="0.15">
      <c r="A23" s="60"/>
      <c r="B23" s="60"/>
      <c r="C23" s="32">
        <f t="shared" ref="C23" ca="1" si="419">C22*B22</f>
        <v>12.909530101831223</v>
      </c>
      <c r="D23" s="32">
        <f t="shared" ref="D23" ca="1" si="420">D22*B22</f>
        <v>9.6765686512611904</v>
      </c>
      <c r="E23" s="32">
        <f t="shared" ref="E23" ca="1" si="421">E22*B22</f>
        <v>8.6536015975206677</v>
      </c>
      <c r="F23" s="32">
        <f t="shared" ref="F23" ca="1" si="422">F22*B22</f>
        <v>7.8085660204651797</v>
      </c>
      <c r="G23" s="32">
        <f t="shared" ref="G23" ca="1" si="423">G22*B22</f>
        <v>6.8378982682007852</v>
      </c>
      <c r="H23" s="32">
        <f t="shared" ref="H23" ca="1" si="424">H22*B22</f>
        <v>6.7737444743116599</v>
      </c>
      <c r="I23" s="33">
        <f t="shared" ref="I23" ca="1" si="425">I22*B22</f>
        <v>6.1872098838147691</v>
      </c>
      <c r="J23" s="33">
        <f t="shared" ref="J23" ca="1" si="426">J22*B22</f>
        <v>5.5208842054694056</v>
      </c>
      <c r="K23" s="34">
        <f t="shared" ref="K23" ca="1" si="427">K22*B22</f>
        <v>5.0833533544149603</v>
      </c>
      <c r="L23" s="34">
        <f t="shared" ref="L23" ca="1" si="428">L22*B22</f>
        <v>4.905595357343655</v>
      </c>
      <c r="M23" s="34">
        <f t="shared" ref="M23" ca="1" si="429">M22*B22</f>
        <v>3.7796566145422941</v>
      </c>
      <c r="N23" s="34">
        <f t="shared" ref="N23" ca="1" si="430">N22*B22</f>
        <v>3.6495585660329559</v>
      </c>
      <c r="O23" s="34">
        <f t="shared" ref="O23" ca="1" si="431">O22*B22</f>
        <v>3.1655209922395535</v>
      </c>
      <c r="P23" s="34">
        <f t="shared" ref="P23" ca="1" si="432">B22*P22</f>
        <v>2.6243687870694821</v>
      </c>
      <c r="Q23" s="34">
        <f t="shared" ref="Q23" ca="1" si="433">Q22*B22</f>
        <v>2.4190501566603939</v>
      </c>
      <c r="R23" s="34">
        <f t="shared" ref="R23" ca="1" si="434">R22*B22</f>
        <v>2.4065924523237836</v>
      </c>
      <c r="S23" s="34">
        <f t="shared" ref="S23" ca="1" si="435">S22*B22</f>
        <v>2.3992105422241692</v>
      </c>
      <c r="T23" s="34">
        <f t="shared" ref="T23" ca="1" si="436">T22*B22</f>
        <v>2.3867217980629598</v>
      </c>
      <c r="U23" s="34">
        <f t="shared" ref="U23" ca="1" si="437">U22*B22</f>
        <v>2.0609148739151961</v>
      </c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spans="1:31" x14ac:dyDescent="0.15">
      <c r="A24" s="59">
        <v>43065</v>
      </c>
      <c r="B24" s="60">
        <f t="shared" ref="B24" ca="1" si="438">RANDBETWEEN(10,150)</f>
        <v>65</v>
      </c>
      <c r="C24" s="31">
        <f t="shared" ref="C24" ca="1" si="439">RAND()*0.2+0.6</f>
        <v>0.7577830887278898</v>
      </c>
      <c r="D24" s="31">
        <f t="shared" ref="D24:E24" ca="1" si="440">RAND()*0.1+0.5</f>
        <v>0.56701996586721271</v>
      </c>
      <c r="E24" s="31">
        <f t="shared" ca="1" si="440"/>
        <v>0.51872980476415598</v>
      </c>
      <c r="F24" s="31">
        <f t="shared" ref="F24" ca="1" si="441">RAND()*0.05+0.45</f>
        <v>0.46443034725955495</v>
      </c>
      <c r="G24" s="31">
        <f t="shared" ref="G24" ca="1" si="442">RAND()*0.05+0.4</f>
        <v>0.42509460501202917</v>
      </c>
      <c r="H24" s="31">
        <f t="shared" ref="H24" ca="1" si="443">RAND()*0.025+0.375</f>
        <v>0.3892655037233585</v>
      </c>
      <c r="I24" s="31">
        <f t="shared" ref="I24" ca="1" si="444">RAND()*0.02+0.35</f>
        <v>0.36070468831497843</v>
      </c>
      <c r="J24" s="31">
        <f t="shared" ref="J24" ca="1" si="445">RAND()*0.025+0.3</f>
        <v>0.30631201569289496</v>
      </c>
      <c r="K24" s="31">
        <f t="shared" ref="K24" ca="1" si="446">RAND()*0.01+0.29</f>
        <v>0.29652502162670785</v>
      </c>
      <c r="L24" s="31">
        <f t="shared" ref="L24" ca="1" si="447">RAND()*0.01+0.28</f>
        <v>0.28481992720545829</v>
      </c>
      <c r="M24" s="31">
        <f t="shared" ref="M24" ca="1" si="448">RAND()*0.01+0.22</f>
        <v>0.22175416342787693</v>
      </c>
      <c r="N24" s="31">
        <f t="shared" ref="N24" ca="1" si="449">RAND()*0.02+0.2</f>
        <v>0.20928941215920221</v>
      </c>
      <c r="O24" s="31">
        <f t="shared" ref="O24" ca="1" si="450">RAND()*0.01+0.18</f>
        <v>0.18042038676862787</v>
      </c>
      <c r="P24" s="31">
        <f t="shared" ref="P24" ca="1" si="451">RAND()*0.01+0.15</f>
        <v>0.15909988503616218</v>
      </c>
      <c r="Q24" s="31">
        <f t="shared" ref="Q24" ca="1" si="452">RAND()*0.01+0.14</f>
        <v>0.14179989656539913</v>
      </c>
      <c r="R24" s="31">
        <f t="shared" ref="R24:T24" ca="1" si="453">RAND()*0.01+0.135</f>
        <v>0.13640169087597734</v>
      </c>
      <c r="S24" s="31">
        <f t="shared" ca="1" si="453"/>
        <v>0.13919098048128098</v>
      </c>
      <c r="T24" s="31">
        <f t="shared" ca="1" si="453"/>
        <v>0.14022300236059498</v>
      </c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 x14ac:dyDescent="0.15">
      <c r="A25" s="60"/>
      <c r="B25" s="60"/>
      <c r="C25" s="32">
        <f t="shared" ref="C25" ca="1" si="454">C24*B24</f>
        <v>49.255900767312838</v>
      </c>
      <c r="D25" s="32">
        <f t="shared" ref="D25" ca="1" si="455">D24*B24</f>
        <v>36.856297781368824</v>
      </c>
      <c r="E25" s="32">
        <f t="shared" ref="E25" ca="1" si="456">E24*B24</f>
        <v>33.717437309670139</v>
      </c>
      <c r="F25" s="32">
        <f t="shared" ref="F25" ca="1" si="457">F24*B24</f>
        <v>30.187972571871072</v>
      </c>
      <c r="G25" s="32">
        <f t="shared" ref="G25" ca="1" si="458">G24*B24</f>
        <v>27.631149325781895</v>
      </c>
      <c r="H25" s="32">
        <f t="shared" ref="H25" ca="1" si="459">H24*B24</f>
        <v>25.302257742018302</v>
      </c>
      <c r="I25" s="33">
        <f t="shared" ref="I25" ca="1" si="460">I24*B24</f>
        <v>23.445804740473598</v>
      </c>
      <c r="J25" s="33">
        <f t="shared" ref="J25" ca="1" si="461">J24*B24</f>
        <v>19.910281020038173</v>
      </c>
      <c r="K25" s="34">
        <f t="shared" ref="K25" ca="1" si="462">K24*B24</f>
        <v>19.274126405736009</v>
      </c>
      <c r="L25" s="34">
        <f t="shared" ref="L25" ca="1" si="463">L24*B24</f>
        <v>18.513295268354788</v>
      </c>
      <c r="M25" s="34">
        <f t="shared" ref="M25" ca="1" si="464">M24*B24</f>
        <v>14.414020622812</v>
      </c>
      <c r="N25" s="34">
        <f t="shared" ref="N25" ca="1" si="465">N24*B24</f>
        <v>13.603811790348145</v>
      </c>
      <c r="O25" s="34">
        <f t="shared" ref="O25" ca="1" si="466">O24*B24</f>
        <v>11.727325139960811</v>
      </c>
      <c r="P25" s="34">
        <f t="shared" ref="P25" ca="1" si="467">B24*P24</f>
        <v>10.341492527350542</v>
      </c>
      <c r="Q25" s="34">
        <f t="shared" ref="Q25" ca="1" si="468">Q24*B24</f>
        <v>9.2169932767509426</v>
      </c>
      <c r="R25" s="34">
        <f t="shared" ref="R25" ca="1" si="469">R24*B24</f>
        <v>8.8661099069385276</v>
      </c>
      <c r="S25" s="34">
        <f t="shared" ref="S25" ca="1" si="470">S24*B24</f>
        <v>9.0474137312832639</v>
      </c>
      <c r="T25" s="34">
        <f t="shared" ref="T25" ca="1" si="471">T24*B24</f>
        <v>9.1144951534386731</v>
      </c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 x14ac:dyDescent="0.15">
      <c r="A26" s="59">
        <v>43066</v>
      </c>
      <c r="B26" s="60">
        <f t="shared" ref="B26" ca="1" si="472">RANDBETWEEN(10,150)</f>
        <v>96</v>
      </c>
      <c r="C26" s="31">
        <f t="shared" ref="C26" ca="1" si="473">RAND()*0.2+0.6</f>
        <v>0.68660725160449509</v>
      </c>
      <c r="D26" s="31">
        <f t="shared" ref="D26:E26" ca="1" si="474">RAND()*0.1+0.5</f>
        <v>0.56172599891980357</v>
      </c>
      <c r="E26" s="31">
        <f t="shared" ca="1" si="474"/>
        <v>0.58171850053278917</v>
      </c>
      <c r="F26" s="31">
        <f t="shared" ref="F26" ca="1" si="475">RAND()*0.05+0.45</f>
        <v>0.48637667141323809</v>
      </c>
      <c r="G26" s="31">
        <f t="shared" ref="G26" ca="1" si="476">RAND()*0.05+0.4</f>
        <v>0.44284397392008834</v>
      </c>
      <c r="H26" s="31">
        <f t="shared" ref="H26" ca="1" si="477">RAND()*0.025+0.375</f>
        <v>0.39605990776304162</v>
      </c>
      <c r="I26" s="31">
        <f t="shared" ref="I26" ca="1" si="478">RAND()*0.02+0.35</f>
        <v>0.36148831836245071</v>
      </c>
      <c r="J26" s="31">
        <f t="shared" ref="J26" ca="1" si="479">RAND()*0.025+0.3</f>
        <v>0.31415394042107853</v>
      </c>
      <c r="K26" s="31">
        <f t="shared" ref="K26" ca="1" si="480">RAND()*0.01+0.29</f>
        <v>0.2957011593830855</v>
      </c>
      <c r="L26" s="31">
        <f t="shared" ref="L26" ca="1" si="481">RAND()*0.01+0.28</f>
        <v>0.28994081807804317</v>
      </c>
      <c r="M26" s="31">
        <f t="shared" ref="M26" ca="1" si="482">RAND()*0.01+0.22</f>
        <v>0.2273763219293671</v>
      </c>
      <c r="N26" s="31">
        <f t="shared" ref="N26" ca="1" si="483">RAND()*0.02+0.2</f>
        <v>0.21684000660335606</v>
      </c>
      <c r="O26" s="31">
        <f t="shared" ref="O26" ca="1" si="484">RAND()*0.01+0.18</f>
        <v>0.1852586149462204</v>
      </c>
      <c r="P26" s="31">
        <f t="shared" ref="P26" ca="1" si="485">RAND()*0.01+0.15</f>
        <v>0.15053039834011744</v>
      </c>
      <c r="Q26" s="31">
        <f t="shared" ref="Q26" ca="1" si="486">RAND()*0.01+0.14</f>
        <v>0.14052202694022436</v>
      </c>
      <c r="R26" s="31">
        <f t="shared" ref="R26:S26" ca="1" si="487">RAND()*0.01+0.135</f>
        <v>0.1375708654037594</v>
      </c>
      <c r="S26" s="31">
        <f t="shared" ca="1" si="487"/>
        <v>0.14151906316768845</v>
      </c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spans="1:31" x14ac:dyDescent="0.15">
      <c r="A27" s="60"/>
      <c r="B27" s="60"/>
      <c r="C27" s="32">
        <f t="shared" ref="C27" ca="1" si="488">C26*B26</f>
        <v>65.914296154031533</v>
      </c>
      <c r="D27" s="32">
        <f t="shared" ref="D27" ca="1" si="489">D26*B26</f>
        <v>53.925695896301143</v>
      </c>
      <c r="E27" s="32">
        <f t="shared" ref="E27" ca="1" si="490">E26*B26</f>
        <v>55.844976051147761</v>
      </c>
      <c r="F27" s="32">
        <f t="shared" ref="F27" ca="1" si="491">F26*B26</f>
        <v>46.692160455670859</v>
      </c>
      <c r="G27" s="32">
        <f t="shared" ref="G27" ca="1" si="492">G26*B26</f>
        <v>42.513021496328477</v>
      </c>
      <c r="H27" s="32">
        <f t="shared" ref="H27" ca="1" si="493">H26*B26</f>
        <v>38.021751145251997</v>
      </c>
      <c r="I27" s="33">
        <f t="shared" ref="I27" ca="1" si="494">I26*B26</f>
        <v>34.70287856279527</v>
      </c>
      <c r="J27" s="33">
        <f t="shared" ref="J27" ca="1" si="495">J26*B26</f>
        <v>30.15877828042354</v>
      </c>
      <c r="K27" s="34">
        <f t="shared" ref="K27" ca="1" si="496">K26*B26</f>
        <v>28.387311300776208</v>
      </c>
      <c r="L27" s="34">
        <f t="shared" ref="L27" ca="1" si="497">L26*B26</f>
        <v>27.834318535492145</v>
      </c>
      <c r="M27" s="34">
        <f t="shared" ref="M27" ca="1" si="498">M26*B26</f>
        <v>21.828126905219243</v>
      </c>
      <c r="N27" s="34">
        <f t="shared" ref="N27" ca="1" si="499">N26*B26</f>
        <v>20.816640633922184</v>
      </c>
      <c r="O27" s="34">
        <f t="shared" ref="O27" ca="1" si="500">O26*B26</f>
        <v>17.784827034837157</v>
      </c>
      <c r="P27" s="34">
        <f t="shared" ref="P27" ca="1" si="501">B26*P26</f>
        <v>14.450918240651275</v>
      </c>
      <c r="Q27" s="34">
        <f t="shared" ref="Q27" ca="1" si="502">Q26*B26</f>
        <v>13.490114586261539</v>
      </c>
      <c r="R27" s="34">
        <f t="shared" ref="R27" ca="1" si="503">R26*B26</f>
        <v>13.206803078760903</v>
      </c>
      <c r="S27" s="34">
        <f t="shared" ref="S27" ca="1" si="504">S26*B26</f>
        <v>13.58583006409809</v>
      </c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 x14ac:dyDescent="0.15">
      <c r="A28" s="59">
        <v>43067</v>
      </c>
      <c r="B28" s="60">
        <f t="shared" ref="B28" ca="1" si="505">RANDBETWEEN(10,150)</f>
        <v>73</v>
      </c>
      <c r="C28" s="31">
        <f t="shared" ref="C28" ca="1" si="506">RAND()*0.2+0.6</f>
        <v>0.75349412086596523</v>
      </c>
      <c r="D28" s="31">
        <f t="shared" ref="D28:E28" ca="1" si="507">RAND()*0.1+0.5</f>
        <v>0.55578551718748526</v>
      </c>
      <c r="E28" s="31">
        <f t="shared" ca="1" si="507"/>
        <v>0.5478142898038314</v>
      </c>
      <c r="F28" s="31">
        <f t="shared" ref="F28" ca="1" si="508">RAND()*0.05+0.45</f>
        <v>0.45215350563010726</v>
      </c>
      <c r="G28" s="31">
        <f t="shared" ref="G28" ca="1" si="509">RAND()*0.05+0.4</f>
        <v>0.42886810257846869</v>
      </c>
      <c r="H28" s="31">
        <f t="shared" ref="H28" ca="1" si="510">RAND()*0.025+0.375</f>
        <v>0.39264218712641119</v>
      </c>
      <c r="I28" s="31">
        <f t="shared" ref="I28" ca="1" si="511">RAND()*0.02+0.35</f>
        <v>0.36790358273948121</v>
      </c>
      <c r="J28" s="31">
        <f t="shared" ref="J28" ca="1" si="512">RAND()*0.025+0.3</f>
        <v>0.32080417525603538</v>
      </c>
      <c r="K28" s="31">
        <f t="shared" ref="K28" ca="1" si="513">RAND()*0.01+0.29</f>
        <v>0.29244282480658007</v>
      </c>
      <c r="L28" s="31">
        <f t="shared" ref="L28" ca="1" si="514">RAND()*0.01+0.28</f>
        <v>0.28885501880507225</v>
      </c>
      <c r="M28" s="31">
        <f t="shared" ref="M28" ca="1" si="515">RAND()*0.01+0.22</f>
        <v>0.22045811618508443</v>
      </c>
      <c r="N28" s="31">
        <f t="shared" ref="N28" ca="1" si="516">RAND()*0.02+0.2</f>
        <v>0.21716189361146385</v>
      </c>
      <c r="O28" s="31">
        <f t="shared" ref="O28" ca="1" si="517">RAND()*0.01+0.18</f>
        <v>0.18302268823030676</v>
      </c>
      <c r="P28" s="31">
        <f t="shared" ref="P28" ca="1" si="518">RAND()*0.01+0.15</f>
        <v>0.15064972267819005</v>
      </c>
      <c r="Q28" s="31">
        <f t="shared" ref="Q28" ca="1" si="519">RAND()*0.01+0.14</f>
        <v>0.14155509399529739</v>
      </c>
      <c r="R28" s="31">
        <f t="shared" ref="R28" ca="1" si="520">RAND()*0.01+0.135</f>
        <v>0.13597733968139042</v>
      </c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 spans="1:31" x14ac:dyDescent="0.15">
      <c r="A29" s="60"/>
      <c r="B29" s="60"/>
      <c r="C29" s="32">
        <f t="shared" ref="C29" ca="1" si="521">C28*B28</f>
        <v>55.005070823215462</v>
      </c>
      <c r="D29" s="32">
        <f t="shared" ref="D29" ca="1" si="522">D28*B28</f>
        <v>40.572342754686424</v>
      </c>
      <c r="E29" s="32">
        <f t="shared" ref="E29" ca="1" si="523">E28*B28</f>
        <v>39.990443155679692</v>
      </c>
      <c r="F29" s="32">
        <f t="shared" ref="F29" ca="1" si="524">F28*B28</f>
        <v>33.007205910997833</v>
      </c>
      <c r="G29" s="32">
        <f t="shared" ref="G29" ca="1" si="525">G28*B28</f>
        <v>31.307371488228213</v>
      </c>
      <c r="H29" s="32">
        <f t="shared" ref="H29" ca="1" si="526">H28*B28</f>
        <v>28.662879660228018</v>
      </c>
      <c r="I29" s="33">
        <f t="shared" ref="I29" ca="1" si="527">I28*B28</f>
        <v>26.856961539982127</v>
      </c>
      <c r="J29" s="33">
        <f t="shared" ref="J29" ca="1" si="528">J28*B28</f>
        <v>23.418704793690583</v>
      </c>
      <c r="K29" s="34">
        <f t="shared" ref="K29" ca="1" si="529">K28*B28</f>
        <v>21.348326210880344</v>
      </c>
      <c r="L29" s="34">
        <f t="shared" ref="L29" ca="1" si="530">L28*B28</f>
        <v>21.086416372770273</v>
      </c>
      <c r="M29" s="34">
        <f t="shared" ref="M29" ca="1" si="531">M28*B28</f>
        <v>16.093442481511165</v>
      </c>
      <c r="N29" s="34">
        <f t="shared" ref="N29" ca="1" si="532">N28*B28</f>
        <v>15.85281823363686</v>
      </c>
      <c r="O29" s="34">
        <f t="shared" ref="O29" ca="1" si="533">O28*B28</f>
        <v>13.360656240812393</v>
      </c>
      <c r="P29" s="34">
        <f t="shared" ref="P29" ca="1" si="534">B28*P28</f>
        <v>10.997429755507873</v>
      </c>
      <c r="Q29" s="34">
        <f t="shared" ref="Q29" ca="1" si="535">Q28*B28</f>
        <v>10.33352186165671</v>
      </c>
      <c r="R29" s="34">
        <f t="shared" ref="R29" ca="1" si="536">R28*B28</f>
        <v>9.9263457967415007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spans="1:31" x14ac:dyDescent="0.15">
      <c r="A30" s="59">
        <v>43068</v>
      </c>
      <c r="B30" s="60">
        <f t="shared" ref="B30" ca="1" si="537">RANDBETWEEN(10,150)</f>
        <v>25</v>
      </c>
      <c r="C30" s="31">
        <f t="shared" ref="C30" ca="1" si="538">RAND()*0.2+0.6</f>
        <v>0.62487921207788222</v>
      </c>
      <c r="D30" s="31">
        <f t="shared" ref="D30:E30" ca="1" si="539">RAND()*0.1+0.5</f>
        <v>0.51699151502879803</v>
      </c>
      <c r="E30" s="31">
        <f t="shared" ca="1" si="539"/>
        <v>0.5354418961702786</v>
      </c>
      <c r="F30" s="31">
        <f t="shared" ref="F30" ca="1" si="540">RAND()*0.05+0.45</f>
        <v>0.45105338125245625</v>
      </c>
      <c r="G30" s="31">
        <f t="shared" ref="G30" ca="1" si="541">RAND()*0.05+0.4</f>
        <v>0.41197703050319978</v>
      </c>
      <c r="H30" s="31">
        <f t="shared" ref="H30" ca="1" si="542">RAND()*0.025+0.375</f>
        <v>0.39466332201516174</v>
      </c>
      <c r="I30" s="31">
        <f t="shared" ref="I30" ca="1" si="543">RAND()*0.02+0.35</f>
        <v>0.36360152079965885</v>
      </c>
      <c r="J30" s="31">
        <f t="shared" ref="J30" ca="1" si="544">RAND()*0.025+0.3</f>
        <v>0.32272831529328561</v>
      </c>
      <c r="K30" s="31">
        <f t="shared" ref="K30" ca="1" si="545">RAND()*0.01+0.29</f>
        <v>0.29732071764691637</v>
      </c>
      <c r="L30" s="31">
        <f t="shared" ref="L30" ca="1" si="546">RAND()*0.01+0.28</f>
        <v>0.28824679112450879</v>
      </c>
      <c r="M30" s="31">
        <f t="shared" ref="M30" ca="1" si="547">RAND()*0.01+0.22</f>
        <v>0.22141718731158536</v>
      </c>
      <c r="N30" s="31">
        <f t="shared" ref="N30" ca="1" si="548">RAND()*0.02+0.2</f>
        <v>0.20849047767959761</v>
      </c>
      <c r="O30" s="31">
        <f t="shared" ref="O30" ca="1" si="549">RAND()*0.01+0.18</f>
        <v>0.18975154939531827</v>
      </c>
      <c r="P30" s="31">
        <f t="shared" ref="P30" ca="1" si="550">RAND()*0.01+0.15</f>
        <v>0.15064617899539387</v>
      </c>
      <c r="Q30" s="31">
        <f t="shared" ref="Q30" ca="1" si="551">RAND()*0.01+0.14</f>
        <v>0.14129379025360025</v>
      </c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 spans="1:31" x14ac:dyDescent="0.15">
      <c r="A31" s="60"/>
      <c r="B31" s="60"/>
      <c r="C31" s="32">
        <f t="shared" ref="C31" ca="1" si="552">C30*B30</f>
        <v>15.621980301947055</v>
      </c>
      <c r="D31" s="32">
        <f t="shared" ref="D31" ca="1" si="553">D30*B30</f>
        <v>12.92478787571995</v>
      </c>
      <c r="E31" s="32">
        <f t="shared" ref="E31" ca="1" si="554">E30*B30</f>
        <v>13.386047404256965</v>
      </c>
      <c r="F31" s="32">
        <f t="shared" ref="F31" ca="1" si="555">F30*B30</f>
        <v>11.276334531311406</v>
      </c>
      <c r="G31" s="32">
        <f t="shared" ref="G31" ca="1" si="556">G30*B30</f>
        <v>10.299425762579995</v>
      </c>
      <c r="H31" s="32">
        <f t="shared" ref="H31" ca="1" si="557">H30*B30</f>
        <v>9.8665830503790435</v>
      </c>
      <c r="I31" s="33">
        <f t="shared" ref="I31" ca="1" si="558">I30*B30</f>
        <v>9.0900380199914714</v>
      </c>
      <c r="J31" s="33">
        <f t="shared" ref="J31" ca="1" si="559">J30*B30</f>
        <v>8.0682078823321408</v>
      </c>
      <c r="K31" s="34">
        <f t="shared" ref="K31" ca="1" si="560">K30*B30</f>
        <v>7.4330179411729089</v>
      </c>
      <c r="L31" s="34">
        <f t="shared" ref="L31" ca="1" si="561">L30*B30</f>
        <v>7.2061697781127201</v>
      </c>
      <c r="M31" s="34">
        <f t="shared" ref="M31" ca="1" si="562">M30*B30</f>
        <v>5.5354296827896343</v>
      </c>
      <c r="N31" s="34">
        <f t="shared" ref="N31" ca="1" si="563">N30*B30</f>
        <v>5.2122619419899401</v>
      </c>
      <c r="O31" s="34">
        <f t="shared" ref="O31" ca="1" si="564">O30*B30</f>
        <v>4.7437887348829566</v>
      </c>
      <c r="P31" s="34">
        <f t="shared" ref="P31" ca="1" si="565">B30*P30</f>
        <v>3.7661544748848468</v>
      </c>
      <c r="Q31" s="34">
        <f t="shared" ref="Q31" ca="1" si="566">Q30*B30</f>
        <v>3.5323447563400063</v>
      </c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 spans="1:31" x14ac:dyDescent="0.15">
      <c r="A32" s="59">
        <v>43069</v>
      </c>
      <c r="B32" s="60">
        <f t="shared" ref="B32" ca="1" si="567">RANDBETWEEN(10,150)</f>
        <v>14</v>
      </c>
      <c r="C32" s="31">
        <f t="shared" ref="C32" ca="1" si="568">RAND()*0.2+0.6</f>
        <v>0.74317883628103099</v>
      </c>
      <c r="D32" s="31">
        <f t="shared" ref="D32:E32" ca="1" si="569">RAND()*0.1+0.5</f>
        <v>0.58239928662003582</v>
      </c>
      <c r="E32" s="31">
        <f t="shared" ca="1" si="569"/>
        <v>0.5210537072284559</v>
      </c>
      <c r="F32" s="31">
        <f t="shared" ref="F32" ca="1" si="570">RAND()*0.05+0.45</f>
        <v>0.47301684651134551</v>
      </c>
      <c r="G32" s="31">
        <f t="shared" ref="G32" ca="1" si="571">RAND()*0.05+0.4</f>
        <v>0.44053496943932086</v>
      </c>
      <c r="H32" s="31">
        <f t="shared" ref="H32" ca="1" si="572">RAND()*0.025+0.375</f>
        <v>0.38564550107665413</v>
      </c>
      <c r="I32" s="31">
        <f t="shared" ref="I32" ca="1" si="573">RAND()*0.02+0.35</f>
        <v>0.36372243670555104</v>
      </c>
      <c r="J32" s="31">
        <f t="shared" ref="J32" ca="1" si="574">RAND()*0.025+0.3</f>
        <v>0.30130668679420652</v>
      </c>
      <c r="K32" s="31">
        <f t="shared" ref="K32" ca="1" si="575">RAND()*0.01+0.29</f>
        <v>0.29979726671433221</v>
      </c>
      <c r="L32" s="31">
        <f t="shared" ref="L32" ca="1" si="576">RAND()*0.01+0.28</f>
        <v>0.28769116105333931</v>
      </c>
      <c r="M32" s="31">
        <f t="shared" ref="M32" ca="1" si="577">RAND()*0.01+0.22</f>
        <v>0.22662908298728804</v>
      </c>
      <c r="N32" s="31">
        <f t="shared" ref="N32" ca="1" si="578">RAND()*0.02+0.2</f>
        <v>0.21285939529397072</v>
      </c>
      <c r="O32" s="31">
        <f t="shared" ref="O32" ca="1" si="579">RAND()*0.01+0.18</f>
        <v>0.18263406311174646</v>
      </c>
      <c r="P32" s="31">
        <f t="shared" ref="P32" ca="1" si="580">RAND()*0.01+0.15</f>
        <v>0.15373203789188669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spans="1:31" x14ac:dyDescent="0.15">
      <c r="A33" s="60"/>
      <c r="B33" s="60"/>
      <c r="C33" s="32">
        <f t="shared" ref="C33" ca="1" si="581">C32*B32</f>
        <v>10.404503707934435</v>
      </c>
      <c r="D33" s="32">
        <f t="shared" ref="D33" ca="1" si="582">D32*B32</f>
        <v>8.1535900126805014</v>
      </c>
      <c r="E33" s="32">
        <f t="shared" ref="E33" ca="1" si="583">E32*B32</f>
        <v>7.2947519011983823</v>
      </c>
      <c r="F33" s="32">
        <f t="shared" ref="F33" ca="1" si="584">F32*B32</f>
        <v>6.6222358511588375</v>
      </c>
      <c r="G33" s="32">
        <f t="shared" ref="G33" ca="1" si="585">G32*B32</f>
        <v>6.1674895721504921</v>
      </c>
      <c r="H33" s="32">
        <f t="shared" ref="H33" ca="1" si="586">H32*B32</f>
        <v>5.3990370150731577</v>
      </c>
      <c r="I33" s="33">
        <f t="shared" ref="I33" ca="1" si="587">I32*B32</f>
        <v>5.0921141138777148</v>
      </c>
      <c r="J33" s="33">
        <f t="shared" ref="J33" ca="1" si="588">J32*B32</f>
        <v>4.218293615118891</v>
      </c>
      <c r="K33" s="34">
        <f t="shared" ref="K33" ca="1" si="589">K32*B32</f>
        <v>4.1971617340006508</v>
      </c>
      <c r="L33" s="34">
        <f t="shared" ref="L33" ca="1" si="590">L32*B32</f>
        <v>4.0276762547467504</v>
      </c>
      <c r="M33" s="34">
        <f t="shared" ref="M33" ca="1" si="591">M32*B32</f>
        <v>3.1728071618220324</v>
      </c>
      <c r="N33" s="34">
        <f t="shared" ref="N33" ca="1" si="592">N32*B32</f>
        <v>2.9800315341155899</v>
      </c>
      <c r="O33" s="34">
        <f t="shared" ref="O33" ca="1" si="593">O32*B32</f>
        <v>2.5568768835644504</v>
      </c>
      <c r="P33" s="34">
        <f t="shared" ref="P33" ca="1" si="594">B32*P32</f>
        <v>2.1522485304864136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 spans="1:31" x14ac:dyDescent="0.15">
      <c r="A34" s="59">
        <v>43070</v>
      </c>
      <c r="B34" s="60">
        <f t="shared" ref="B34" ca="1" si="595">RANDBETWEEN(10,150)</f>
        <v>21</v>
      </c>
      <c r="C34" s="31">
        <f t="shared" ref="C34" ca="1" si="596">RAND()*0.2+0.6</f>
        <v>0.73858563983462944</v>
      </c>
      <c r="D34" s="31">
        <f t="shared" ref="D34:E34" ca="1" si="597">RAND()*0.1+0.5</f>
        <v>0.55856192582504227</v>
      </c>
      <c r="E34" s="31">
        <f t="shared" ca="1" si="597"/>
        <v>0.59989409286151107</v>
      </c>
      <c r="F34" s="31">
        <f t="shared" ref="F34" ca="1" si="598">RAND()*0.05+0.45</f>
        <v>0.47494679467060086</v>
      </c>
      <c r="G34" s="31">
        <f t="shared" ref="G34" ca="1" si="599">RAND()*0.05+0.4</f>
        <v>0.4405106050758737</v>
      </c>
      <c r="H34" s="31">
        <f t="shared" ref="H34" ca="1" si="600">RAND()*0.025+0.375</f>
        <v>0.38020232211800642</v>
      </c>
      <c r="I34" s="31">
        <f t="shared" ref="I34" ca="1" si="601">RAND()*0.02+0.35</f>
        <v>0.35706675042966435</v>
      </c>
      <c r="J34" s="31">
        <f t="shared" ref="J34" ca="1" si="602">RAND()*0.025+0.3</f>
        <v>0.31998397343941543</v>
      </c>
      <c r="K34" s="31">
        <f t="shared" ref="K34" ca="1" si="603">RAND()*0.01+0.29</f>
        <v>0.29361234673263736</v>
      </c>
      <c r="L34" s="31">
        <f t="shared" ref="L34" ca="1" si="604">RAND()*0.01+0.28</f>
        <v>0.2806834011240717</v>
      </c>
      <c r="M34" s="31">
        <f t="shared" ref="M34" ca="1" si="605">RAND()*0.01+0.22</f>
        <v>0.22844256569570798</v>
      </c>
      <c r="N34" s="31">
        <f t="shared" ref="N34" ca="1" si="606">RAND()*0.02+0.2</f>
        <v>0.20067281443509793</v>
      </c>
      <c r="O34" s="31">
        <f t="shared" ref="O34" ca="1" si="607">RAND()*0.01+0.18</f>
        <v>0.18771445611348472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 spans="1:31" x14ac:dyDescent="0.15">
      <c r="A35" s="60"/>
      <c r="B35" s="60"/>
      <c r="C35" s="32">
        <f t="shared" ref="C35" ca="1" si="608">C34*B34</f>
        <v>15.510298436527219</v>
      </c>
      <c r="D35" s="32">
        <f t="shared" ref="D35" ca="1" si="609">D34*B34</f>
        <v>11.729800442325887</v>
      </c>
      <c r="E35" s="32">
        <f t="shared" ref="E35" ca="1" si="610">E34*B34</f>
        <v>12.597775950091732</v>
      </c>
      <c r="F35" s="32">
        <f t="shared" ref="F35" ca="1" si="611">F34*B34</f>
        <v>9.9738826880826181</v>
      </c>
      <c r="G35" s="32">
        <f t="shared" ref="G35" ca="1" si="612">G34*B34</f>
        <v>9.2507227065933471</v>
      </c>
      <c r="H35" s="32">
        <f t="shared" ref="H35" ca="1" si="613">H34*B34</f>
        <v>7.984248764478135</v>
      </c>
      <c r="I35" s="33">
        <f t="shared" ref="I35" ca="1" si="614">I34*B34</f>
        <v>7.4984017590229515</v>
      </c>
      <c r="J35" s="33">
        <f t="shared" ref="J35" ca="1" si="615">J34*B34</f>
        <v>6.7196634422277235</v>
      </c>
      <c r="K35" s="34">
        <f t="shared" ref="K35" ca="1" si="616">K34*B34</f>
        <v>6.1658592813853845</v>
      </c>
      <c r="L35" s="34">
        <f t="shared" ref="L35" ca="1" si="617">L34*B34</f>
        <v>5.8943514236055057</v>
      </c>
      <c r="M35" s="34">
        <f t="shared" ref="M35" ca="1" si="618">M34*B34</f>
        <v>4.7972938796098674</v>
      </c>
      <c r="N35" s="34">
        <f t="shared" ref="N35" ca="1" si="619">N34*B34</f>
        <v>4.2141291031370569</v>
      </c>
      <c r="O35" s="34">
        <f t="shared" ref="O35" ca="1" si="620">O34*B34</f>
        <v>3.9420035783831793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 spans="1:31" x14ac:dyDescent="0.15">
      <c r="A36" s="59">
        <v>43071</v>
      </c>
      <c r="B36" s="60">
        <f t="shared" ref="B36" ca="1" si="621">RANDBETWEEN(10,150)</f>
        <v>112</v>
      </c>
      <c r="C36" s="31">
        <f t="shared" ref="C36" ca="1" si="622">RAND()*0.2+0.6</f>
        <v>0.6587268483624199</v>
      </c>
      <c r="D36" s="31">
        <f t="shared" ref="D36:E36" ca="1" si="623">RAND()*0.1+0.5</f>
        <v>0.56366538542880606</v>
      </c>
      <c r="E36" s="31">
        <f t="shared" ca="1" si="623"/>
        <v>0.51369650637137521</v>
      </c>
      <c r="F36" s="31">
        <f t="shared" ref="F36" ca="1" si="624">RAND()*0.05+0.45</f>
        <v>0.49383221974357777</v>
      </c>
      <c r="G36" s="31">
        <f t="shared" ref="G36" ca="1" si="625">RAND()*0.05+0.4</f>
        <v>0.41493377585986174</v>
      </c>
      <c r="H36" s="31">
        <f t="shared" ref="H36" ca="1" si="626">RAND()*0.025+0.375</f>
        <v>0.39156299106236531</v>
      </c>
      <c r="I36" s="31">
        <f t="shared" ref="I36" ca="1" si="627">RAND()*0.02+0.35</f>
        <v>0.36310181657466661</v>
      </c>
      <c r="J36" s="31">
        <f t="shared" ref="J36" ca="1" si="628">RAND()*0.025+0.3</f>
        <v>0.31178743819876165</v>
      </c>
      <c r="K36" s="31">
        <f t="shared" ref="K36" ca="1" si="629">RAND()*0.01+0.29</f>
        <v>0.29561196123463779</v>
      </c>
      <c r="L36" s="31">
        <f t="shared" ref="L36" ca="1" si="630">RAND()*0.01+0.28</f>
        <v>0.28330645400602017</v>
      </c>
      <c r="M36" s="31">
        <f t="shared" ref="M36" ca="1" si="631">RAND()*0.01+0.22</f>
        <v>0.22495564220650038</v>
      </c>
      <c r="N36" s="31">
        <f t="shared" ref="N36" ca="1" si="632">RAND()*0.02+0.2</f>
        <v>0.20655166461153324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spans="1:31" x14ac:dyDescent="0.15">
      <c r="A37" s="60"/>
      <c r="B37" s="60"/>
      <c r="C37" s="32">
        <f t="shared" ref="C37" ca="1" si="633">C36*B36</f>
        <v>73.777407016591027</v>
      </c>
      <c r="D37" s="32">
        <f t="shared" ref="D37" ca="1" si="634">D36*B36</f>
        <v>63.130523168026279</v>
      </c>
      <c r="E37" s="32">
        <f t="shared" ref="E37" ca="1" si="635">E36*B36</f>
        <v>57.534008713594019</v>
      </c>
      <c r="F37" s="32">
        <f t="shared" ref="F37" ca="1" si="636">F36*B36</f>
        <v>55.30920861128071</v>
      </c>
      <c r="G37" s="32">
        <f t="shared" ref="G37" ca="1" si="637">G36*B36</f>
        <v>46.472582896304516</v>
      </c>
      <c r="H37" s="32">
        <f t="shared" ref="H37" ca="1" si="638">H36*B36</f>
        <v>43.855054998984912</v>
      </c>
      <c r="I37" s="33">
        <f t="shared" ref="I37" ca="1" si="639">I36*B36</f>
        <v>40.667403456362663</v>
      </c>
      <c r="J37" s="33">
        <f t="shared" ref="J37" ca="1" si="640">J36*B36</f>
        <v>34.920193078261306</v>
      </c>
      <c r="K37" s="34">
        <f t="shared" ref="K37" ca="1" si="641">K36*B36</f>
        <v>33.108539658279433</v>
      </c>
      <c r="L37" s="34">
        <f t="shared" ref="L37" ca="1" si="642">L36*B36</f>
        <v>31.730322848674259</v>
      </c>
      <c r="M37" s="34">
        <f t="shared" ref="M37" ca="1" si="643">M36*B36</f>
        <v>25.195031927128042</v>
      </c>
      <c r="N37" s="34">
        <f t="shared" ref="N37" ca="1" si="644">N36*B36</f>
        <v>23.133786436491722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spans="1:31" x14ac:dyDescent="0.15">
      <c r="A38" s="59">
        <v>43072</v>
      </c>
      <c r="B38" s="60">
        <f t="shared" ref="B38" ca="1" si="645">RANDBETWEEN(10,150)</f>
        <v>136</v>
      </c>
      <c r="C38" s="31">
        <f t="shared" ref="C38" ca="1" si="646">RAND()*0.2+0.6</f>
        <v>0.74542488277803975</v>
      </c>
      <c r="D38" s="31">
        <f t="shared" ref="D38:E38" ca="1" si="647">RAND()*0.1+0.5</f>
        <v>0.53418374660330792</v>
      </c>
      <c r="E38" s="31">
        <f t="shared" ca="1" si="647"/>
        <v>0.55378757443459847</v>
      </c>
      <c r="F38" s="31">
        <f t="shared" ref="F38" ca="1" si="648">RAND()*0.05+0.45</f>
        <v>0.49039785337932013</v>
      </c>
      <c r="G38" s="31">
        <f t="shared" ref="G38" ca="1" si="649">RAND()*0.05+0.4</f>
        <v>0.42938868958742032</v>
      </c>
      <c r="H38" s="31">
        <f t="shared" ref="H38" ca="1" si="650">RAND()*0.025+0.375</f>
        <v>0.37997639138190581</v>
      </c>
      <c r="I38" s="31">
        <f t="shared" ref="I38" ca="1" si="651">RAND()*0.02+0.35</f>
        <v>0.35946148853946958</v>
      </c>
      <c r="J38" s="31">
        <f t="shared" ref="J38" ca="1" si="652">RAND()*0.025+0.3</f>
        <v>0.30952448169015662</v>
      </c>
      <c r="K38" s="31">
        <f t="shared" ref="K38" ca="1" si="653">RAND()*0.01+0.29</f>
        <v>0.2912010150949646</v>
      </c>
      <c r="L38" s="31">
        <f t="shared" ref="L38" ca="1" si="654">RAND()*0.01+0.28</f>
        <v>0.28052658408387493</v>
      </c>
      <c r="M38" s="31">
        <f t="shared" ref="M38" ca="1" si="655">RAND()*0.01+0.22</f>
        <v>0.2293387007734112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1:31" x14ac:dyDescent="0.15">
      <c r="A39" s="60"/>
      <c r="B39" s="60"/>
      <c r="C39" s="32">
        <f t="shared" ref="C39" ca="1" si="656">C38*B38</f>
        <v>101.3777840578134</v>
      </c>
      <c r="D39" s="32">
        <f t="shared" ref="D39" ca="1" si="657">D38*B38</f>
        <v>72.648989538049875</v>
      </c>
      <c r="E39" s="32">
        <f t="shared" ref="E39" ca="1" si="658">E38*B38</f>
        <v>75.315110123105399</v>
      </c>
      <c r="F39" s="32">
        <f t="shared" ref="F39" ca="1" si="659">F38*B38</f>
        <v>66.694108059587535</v>
      </c>
      <c r="G39" s="32">
        <f t="shared" ref="G39" ca="1" si="660">G38*B38</f>
        <v>58.396861783889165</v>
      </c>
      <c r="H39" s="32">
        <f t="shared" ref="H39" ca="1" si="661">H38*B38</f>
        <v>51.676789227939189</v>
      </c>
      <c r="I39" s="33">
        <f t="shared" ref="I39" ca="1" si="662">I38*B38</f>
        <v>48.886762441367864</v>
      </c>
      <c r="J39" s="33">
        <f t="shared" ref="J39" ca="1" si="663">J38*B38</f>
        <v>42.095329509861301</v>
      </c>
      <c r="K39" s="34">
        <f t="shared" ref="K39" ca="1" si="664">K38*B38</f>
        <v>39.603338052915184</v>
      </c>
      <c r="L39" s="34">
        <f t="shared" ref="L39" ca="1" si="665">L38*B38</f>
        <v>38.151615435406988</v>
      </c>
      <c r="M39" s="34">
        <f t="shared" ref="M39" ca="1" si="666">M38*B38</f>
        <v>31.190063305183923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 x14ac:dyDescent="0.15">
      <c r="A40" s="59">
        <v>43073</v>
      </c>
      <c r="B40" s="60">
        <f t="shared" ref="B40" ca="1" si="667">RANDBETWEEN(10,150)</f>
        <v>20</v>
      </c>
      <c r="C40" s="31">
        <f t="shared" ref="C40" ca="1" si="668">RAND()*0.2+0.6</f>
        <v>0.79495292134106355</v>
      </c>
      <c r="D40" s="31">
        <f t="shared" ref="D40:E40" ca="1" si="669">RAND()*0.1+0.5</f>
        <v>0.59323238370779396</v>
      </c>
      <c r="E40" s="31">
        <f t="shared" ca="1" si="669"/>
        <v>0.56490885698294158</v>
      </c>
      <c r="F40" s="31">
        <f t="shared" ref="F40" ca="1" si="670">RAND()*0.05+0.45</f>
        <v>0.48829138200364536</v>
      </c>
      <c r="G40" s="31">
        <f t="shared" ref="G40" ca="1" si="671">RAND()*0.05+0.4</f>
        <v>0.44774031177109119</v>
      </c>
      <c r="H40" s="31">
        <f t="shared" ref="H40" ca="1" si="672">RAND()*0.025+0.375</f>
        <v>0.39920034565299906</v>
      </c>
      <c r="I40" s="31">
        <f t="shared" ref="I40" ca="1" si="673">RAND()*0.02+0.35</f>
        <v>0.36028733097648374</v>
      </c>
      <c r="J40" s="31">
        <f t="shared" ref="J40" ca="1" si="674">RAND()*0.025+0.3</f>
        <v>0.30105062012266048</v>
      </c>
      <c r="K40" s="31">
        <f t="shared" ref="K40" ca="1" si="675">RAND()*0.01+0.29</f>
        <v>0.29647664481646768</v>
      </c>
      <c r="L40" s="31">
        <f t="shared" ref="L40" ca="1" si="676">RAND()*0.01+0.28</f>
        <v>0.28251854289822104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1:31" x14ac:dyDescent="0.15">
      <c r="A41" s="60"/>
      <c r="B41" s="60"/>
      <c r="C41" s="32">
        <f t="shared" ref="C41" ca="1" si="677">C40*B40</f>
        <v>15.89905842682127</v>
      </c>
      <c r="D41" s="32">
        <f t="shared" ref="D41" ca="1" si="678">D40*B40</f>
        <v>11.864647674155879</v>
      </c>
      <c r="E41" s="32">
        <f t="shared" ref="E41" ca="1" si="679">E40*B40</f>
        <v>11.298177139658831</v>
      </c>
      <c r="F41" s="32">
        <f t="shared" ref="F41" ca="1" si="680">F40*B40</f>
        <v>9.7658276400729065</v>
      </c>
      <c r="G41" s="32">
        <f t="shared" ref="G41" ca="1" si="681">G40*B40</f>
        <v>8.9548062354218239</v>
      </c>
      <c r="H41" s="32">
        <f t="shared" ref="H41" ca="1" si="682">H40*B40</f>
        <v>7.9840069130599813</v>
      </c>
      <c r="I41" s="33">
        <f t="shared" ref="I41" ca="1" si="683">I40*B40</f>
        <v>7.2057466195296751</v>
      </c>
      <c r="J41" s="33">
        <f t="shared" ref="J41" ca="1" si="684">J40*B40</f>
        <v>6.0210124024532092</v>
      </c>
      <c r="K41" s="34">
        <f t="shared" ref="K41" ca="1" si="685">K40*B40</f>
        <v>5.9295328963293539</v>
      </c>
      <c r="L41" s="34">
        <f t="shared" ref="L41" ca="1" si="686">L40*B40</f>
        <v>5.650370857964421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1:31" x14ac:dyDescent="0.15">
      <c r="A42" s="59">
        <v>43074</v>
      </c>
      <c r="B42" s="60">
        <f t="shared" ref="B42" ca="1" si="687">RANDBETWEEN(10,150)</f>
        <v>121</v>
      </c>
      <c r="C42" s="31">
        <f t="shared" ref="C42" ca="1" si="688">RAND()*0.2+0.6</f>
        <v>0.60030988101953864</v>
      </c>
      <c r="D42" s="31">
        <f t="shared" ref="D42:E42" ca="1" si="689">RAND()*0.1+0.5</f>
        <v>0.57161774897256146</v>
      </c>
      <c r="E42" s="31">
        <f t="shared" ca="1" si="689"/>
        <v>0.57589732331491161</v>
      </c>
      <c r="F42" s="31">
        <f t="shared" ref="F42" ca="1" si="690">RAND()*0.05+0.45</f>
        <v>0.47794410634234619</v>
      </c>
      <c r="G42" s="31">
        <f t="shared" ref="G42" ca="1" si="691">RAND()*0.05+0.4</f>
        <v>0.42907783156001017</v>
      </c>
      <c r="H42" s="31">
        <f t="shared" ref="H42" ca="1" si="692">RAND()*0.025+0.375</f>
        <v>0.38820871282166802</v>
      </c>
      <c r="I42" s="31">
        <f t="shared" ref="I42" ca="1" si="693">RAND()*0.02+0.35</f>
        <v>0.35372985802945989</v>
      </c>
      <c r="J42" s="31">
        <f t="shared" ref="J42" ca="1" si="694">RAND()*0.025+0.3</f>
        <v>0.31218246515679754</v>
      </c>
      <c r="K42" s="31">
        <f t="shared" ref="K42" ca="1" si="695">RAND()*0.01+0.29</f>
        <v>0.2915993806323029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 x14ac:dyDescent="0.15">
      <c r="A43" s="60"/>
      <c r="B43" s="60"/>
      <c r="C43" s="32">
        <f t="shared" ref="C43" ca="1" si="696">C42*B42</f>
        <v>72.637495603364172</v>
      </c>
      <c r="D43" s="32">
        <f t="shared" ref="D43" ca="1" si="697">D42*B42</f>
        <v>69.165747625679941</v>
      </c>
      <c r="E43" s="32">
        <f t="shared" ref="E43" ca="1" si="698">E42*B42</f>
        <v>69.683576121104309</v>
      </c>
      <c r="F43" s="32">
        <f t="shared" ref="F43" ca="1" si="699">F42*B42</f>
        <v>57.83123686742389</v>
      </c>
      <c r="G43" s="32">
        <f t="shared" ref="G43" ca="1" si="700">G42*B42</f>
        <v>51.918417618761232</v>
      </c>
      <c r="H43" s="32">
        <f t="shared" ref="H43" ca="1" si="701">H42*B42</f>
        <v>46.973254251421828</v>
      </c>
      <c r="I43" s="33">
        <f t="shared" ref="I43" ca="1" si="702">I42*B42</f>
        <v>42.801312821564643</v>
      </c>
      <c r="J43" s="33">
        <f t="shared" ref="J43" ca="1" si="703">J42*B42</f>
        <v>37.7740782839725</v>
      </c>
      <c r="K43" s="34">
        <f t="shared" ref="K43" ca="1" si="704">K42*B42</f>
        <v>35.283525056508651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1:31" x14ac:dyDescent="0.15">
      <c r="A44" s="59">
        <v>43075</v>
      </c>
      <c r="B44" s="60">
        <f t="shared" ref="B44" ca="1" si="705">RANDBETWEEN(10,150)</f>
        <v>147</v>
      </c>
      <c r="C44" s="31">
        <f t="shared" ref="C44" ca="1" si="706">RAND()*0.2+0.6</f>
        <v>0.67847267079278706</v>
      </c>
      <c r="D44" s="31">
        <f t="shared" ref="D44:E44" ca="1" si="707">RAND()*0.1+0.5</f>
        <v>0.59459361407623068</v>
      </c>
      <c r="E44" s="31">
        <f t="shared" ca="1" si="707"/>
        <v>0.58555510830343338</v>
      </c>
      <c r="F44" s="31">
        <f t="shared" ref="F44" ca="1" si="708">RAND()*0.05+0.45</f>
        <v>0.45156936966844974</v>
      </c>
      <c r="G44" s="31">
        <f t="shared" ref="G44" ca="1" si="709">RAND()*0.05+0.4</f>
        <v>0.42163727469749435</v>
      </c>
      <c r="H44" s="31">
        <f t="shared" ref="H44" ca="1" si="710">RAND()*0.025+0.375</f>
        <v>0.38413556169681412</v>
      </c>
      <c r="I44" s="31">
        <f t="shared" ref="I44" ca="1" si="711">RAND()*0.02+0.35</f>
        <v>0.35039999678051564</v>
      </c>
      <c r="J44" s="31">
        <f t="shared" ref="J44" ca="1" si="712">RAND()*0.025+0.3</f>
        <v>0.31026576676212986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1:31" x14ac:dyDescent="0.15">
      <c r="A45" s="60"/>
      <c r="B45" s="60"/>
      <c r="C45" s="32">
        <f t="shared" ref="C45" ca="1" si="713">C44*B44</f>
        <v>99.735482606539691</v>
      </c>
      <c r="D45" s="32">
        <f t="shared" ref="D45" ca="1" si="714">D44*B44</f>
        <v>87.405261269205909</v>
      </c>
      <c r="E45" s="32">
        <f t="shared" ref="E45" ca="1" si="715">E44*B44</f>
        <v>86.076600920604704</v>
      </c>
      <c r="F45" s="32">
        <f t="shared" ref="F45" ca="1" si="716">F44*B44</f>
        <v>66.380697341262106</v>
      </c>
      <c r="G45" s="32">
        <f t="shared" ref="G45" ca="1" si="717">G44*B44</f>
        <v>61.980679380531669</v>
      </c>
      <c r="H45" s="32">
        <f t="shared" ref="H45" ca="1" si="718">H44*B44</f>
        <v>56.467927569431673</v>
      </c>
      <c r="I45" s="33">
        <f t="shared" ref="I45" ca="1" si="719">I44*B44</f>
        <v>51.5087995267358</v>
      </c>
      <c r="J45" s="33">
        <f t="shared" ref="J45" ca="1" si="720">J44*B44</f>
        <v>45.609067714033088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1:31" x14ac:dyDescent="0.15">
      <c r="A46" s="59">
        <v>43076</v>
      </c>
      <c r="B46" s="60">
        <f t="shared" ref="B46" ca="1" si="721">RANDBETWEEN(10,150)</f>
        <v>102</v>
      </c>
      <c r="C46" s="31">
        <f t="shared" ref="C46" ca="1" si="722">RAND()*0.2+0.6</f>
        <v>0.71210114465457752</v>
      </c>
      <c r="D46" s="31">
        <f t="shared" ref="D46:E46" ca="1" si="723">RAND()*0.1+0.5</f>
        <v>0.57059969144619815</v>
      </c>
      <c r="E46" s="31">
        <f t="shared" ca="1" si="723"/>
        <v>0.57490158635874133</v>
      </c>
      <c r="F46" s="31">
        <f t="shared" ref="F46" ca="1" si="724">RAND()*0.05+0.45</f>
        <v>0.48804792242248535</v>
      </c>
      <c r="G46" s="31">
        <f t="shared" ref="G46" ca="1" si="725">RAND()*0.05+0.4</f>
        <v>0.41429534617911529</v>
      </c>
      <c r="H46" s="31">
        <f t="shared" ref="H46" ca="1" si="726">RAND()*0.025+0.375</f>
        <v>0.37805938221444579</v>
      </c>
      <c r="I46" s="31">
        <f t="shared" ref="I46" ca="1" si="727">RAND()*0.02+0.35</f>
        <v>0.36341137932899364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1:31" x14ac:dyDescent="0.15">
      <c r="A47" s="60"/>
      <c r="B47" s="60"/>
      <c r="C47" s="32">
        <f t="shared" ref="C47" ca="1" si="728">C46*B46</f>
        <v>72.634316754766914</v>
      </c>
      <c r="D47" s="32">
        <f t="shared" ref="D47" ca="1" si="729">D46*B46</f>
        <v>58.201168527512209</v>
      </c>
      <c r="E47" s="32">
        <f t="shared" ref="E47" ca="1" si="730">E46*B46</f>
        <v>58.639961808591615</v>
      </c>
      <c r="F47" s="32">
        <f t="shared" ref="F47" ca="1" si="731">F46*B46</f>
        <v>49.780888087093508</v>
      </c>
      <c r="G47" s="32">
        <f t="shared" ref="G47" ca="1" si="732">G46*B46</f>
        <v>42.258125310269762</v>
      </c>
      <c r="H47" s="32">
        <f t="shared" ref="H47" ca="1" si="733">H46*B46</f>
        <v>38.562056985873468</v>
      </c>
      <c r="I47" s="33">
        <f t="shared" ref="I47" ca="1" si="734">I46*B46</f>
        <v>37.067960691557353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spans="1:31" x14ac:dyDescent="0.15">
      <c r="A48" s="59">
        <v>43077</v>
      </c>
      <c r="B48" s="60">
        <f t="shared" ref="B48" ca="1" si="735">RANDBETWEEN(10,150)</f>
        <v>15</v>
      </c>
      <c r="C48" s="31">
        <f t="shared" ref="C48" ca="1" si="736">RAND()*0.2+0.6</f>
        <v>0.7675508943655508</v>
      </c>
      <c r="D48" s="31">
        <f t="shared" ref="D48:E48" ca="1" si="737">RAND()*0.1+0.5</f>
        <v>0.58618899118712942</v>
      </c>
      <c r="E48" s="31">
        <f t="shared" ca="1" si="737"/>
        <v>0.57646928919333285</v>
      </c>
      <c r="F48" s="31">
        <f t="shared" ref="F48" ca="1" si="738">RAND()*0.05+0.45</f>
        <v>0.48528119123679303</v>
      </c>
      <c r="G48" s="31">
        <f t="shared" ref="G48" ca="1" si="739">RAND()*0.05+0.4</f>
        <v>0.43093790126757664</v>
      </c>
      <c r="H48" s="31">
        <f t="shared" ref="H48" ca="1" si="740">RAND()*0.025+0.375</f>
        <v>0.37791902143833245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spans="1:31" x14ac:dyDescent="0.15">
      <c r="A49" s="60"/>
      <c r="B49" s="60"/>
      <c r="C49" s="32">
        <f t="shared" ref="C49" ca="1" si="741">C48*B48</f>
        <v>11.513263415483262</v>
      </c>
      <c r="D49" s="32">
        <f t="shared" ref="D49" ca="1" si="742">D48*B48</f>
        <v>8.7928348678069419</v>
      </c>
      <c r="E49" s="32">
        <f t="shared" ref="E49" ca="1" si="743">E48*B48</f>
        <v>8.6470393378999919</v>
      </c>
      <c r="F49" s="32">
        <f t="shared" ref="F49" ca="1" si="744">F48*B48</f>
        <v>7.2792178685518953</v>
      </c>
      <c r="G49" s="32">
        <f t="shared" ref="G49" ca="1" si="745">G48*B48</f>
        <v>6.46406851901365</v>
      </c>
      <c r="H49" s="32">
        <f t="shared" ref="H49" ca="1" si="746">H48*B48</f>
        <v>5.6687853215749868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spans="1:31" x14ac:dyDescent="0.15">
      <c r="A50" s="59">
        <v>43078</v>
      </c>
      <c r="B50" s="60">
        <f t="shared" ref="B50" ca="1" si="747">RANDBETWEEN(10,150)</f>
        <v>82</v>
      </c>
      <c r="C50" s="31">
        <f t="shared" ref="C50" ca="1" si="748">RAND()*0.2+0.6</f>
        <v>0.77981476323760801</v>
      </c>
      <c r="D50" s="31">
        <f t="shared" ref="D50:E50" ca="1" si="749">RAND()*0.1+0.5</f>
        <v>0.58692781643540604</v>
      </c>
      <c r="E50" s="31">
        <f t="shared" ca="1" si="749"/>
        <v>0.55624546320816803</v>
      </c>
      <c r="F50" s="31">
        <f t="shared" ref="F50" ca="1" si="750">RAND()*0.05+0.45</f>
        <v>0.47837656208948121</v>
      </c>
      <c r="G50" s="31">
        <f t="shared" ref="G50" ca="1" si="751">RAND()*0.05+0.4</f>
        <v>0.40120633258271743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spans="1:31" x14ac:dyDescent="0.15">
      <c r="A51" s="60"/>
      <c r="B51" s="60"/>
      <c r="C51" s="32">
        <f t="shared" ref="C51" ca="1" si="752">C50*B50</f>
        <v>63.944810585483857</v>
      </c>
      <c r="D51" s="32">
        <f t="shared" ref="D51" ca="1" si="753">D50*B50</f>
        <v>48.128080947703296</v>
      </c>
      <c r="E51" s="32">
        <f t="shared" ref="E51" ca="1" si="754">E50*B50</f>
        <v>45.612127983069776</v>
      </c>
      <c r="F51" s="32">
        <f t="shared" ref="F51" ca="1" si="755">F50*B50</f>
        <v>39.226878091337461</v>
      </c>
      <c r="G51" s="32">
        <f t="shared" ref="G51" ca="1" si="756">G50*B50</f>
        <v>32.89891927178283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spans="1:31" x14ac:dyDescent="0.15">
      <c r="A52" s="59">
        <v>43079</v>
      </c>
      <c r="B52" s="60">
        <f t="shared" ref="B52" ca="1" si="757">RANDBETWEEN(10,150)</f>
        <v>34</v>
      </c>
      <c r="C52" s="31">
        <f t="shared" ref="C52" ca="1" si="758">RAND()*0.2+0.6</f>
        <v>0.74900985547431609</v>
      </c>
      <c r="D52" s="31">
        <f t="shared" ref="D52:E52" ca="1" si="759">RAND()*0.1+0.5</f>
        <v>0.59690324301050934</v>
      </c>
      <c r="E52" s="31">
        <f t="shared" ca="1" si="759"/>
        <v>0.52229418836839936</v>
      </c>
      <c r="F52" s="31">
        <f t="shared" ref="F52" ca="1" si="760">RAND()*0.05+0.45</f>
        <v>0.4890195075907155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spans="1:31" x14ac:dyDescent="0.15">
      <c r="A53" s="60"/>
      <c r="B53" s="60"/>
      <c r="C53" s="32">
        <f t="shared" ref="C53" ca="1" si="761">C52*B52</f>
        <v>25.466335086126747</v>
      </c>
      <c r="D53" s="32">
        <f t="shared" ref="D53" ca="1" si="762">D52*B52</f>
        <v>20.294710262357317</v>
      </c>
      <c r="E53" s="32">
        <f t="shared" ref="E53" ca="1" si="763">E52*B52</f>
        <v>17.758002404525577</v>
      </c>
      <c r="F53" s="32">
        <f t="shared" ref="F53" ca="1" si="764">F52*B52</f>
        <v>16.626663258084328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spans="1:31" x14ac:dyDescent="0.15">
      <c r="A54" s="59">
        <v>43080</v>
      </c>
      <c r="B54" s="60">
        <f t="shared" ref="B54" ca="1" si="765">RANDBETWEEN(10,150)</f>
        <v>57</v>
      </c>
      <c r="C54" s="31">
        <f t="shared" ref="C54" ca="1" si="766">RAND()*0.2+0.6</f>
        <v>0.66631010160845505</v>
      </c>
      <c r="D54" s="31">
        <f t="shared" ref="D54:E54" ca="1" si="767">RAND()*0.1+0.5</f>
        <v>0.57144738395114203</v>
      </c>
      <c r="E54" s="31">
        <f t="shared" ca="1" si="767"/>
        <v>0.55202547605984109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spans="1:31" x14ac:dyDescent="0.15">
      <c r="A55" s="60"/>
      <c r="B55" s="60"/>
      <c r="C55" s="32">
        <f t="shared" ref="C55" ca="1" si="768">C54*B54</f>
        <v>37.979675791681935</v>
      </c>
      <c r="D55" s="32">
        <f t="shared" ref="D55" ca="1" si="769">D54*B54</f>
        <v>32.572500885215092</v>
      </c>
      <c r="E55" s="32">
        <f t="shared" ref="E55" ca="1" si="770">E54*B54</f>
        <v>31.465452135410942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spans="1:31" x14ac:dyDescent="0.15">
      <c r="A56" s="59">
        <v>43081</v>
      </c>
      <c r="B56" s="60">
        <f t="shared" ref="B56" ca="1" si="771">RANDBETWEEN(10,150)</f>
        <v>33</v>
      </c>
      <c r="C56" s="31">
        <f t="shared" ref="C56" ca="1" si="772">RAND()*0.2+0.6</f>
        <v>0.61872379667753152</v>
      </c>
      <c r="D56" s="31">
        <f t="shared" ref="D56" ca="1" si="773">RAND()*0.1+0.5</f>
        <v>0.54206009613137529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spans="1:31" x14ac:dyDescent="0.15">
      <c r="A57" s="60"/>
      <c r="B57" s="60"/>
      <c r="C57" s="32">
        <f t="shared" ref="C57" ca="1" si="774">C56*B56</f>
        <v>20.417885290358541</v>
      </c>
      <c r="D57" s="32">
        <f t="shared" ref="D57" ca="1" si="775">D56*B56</f>
        <v>17.887983172335385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spans="1:31" x14ac:dyDescent="0.15">
      <c r="A58" s="59">
        <v>43082</v>
      </c>
      <c r="B58" s="60">
        <f t="shared" ref="B58" ca="1" si="776">RANDBETWEEN(10,150)</f>
        <v>67</v>
      </c>
      <c r="C58" s="31">
        <f t="shared" ref="C58" ca="1" si="777">RAND()*0.2+0.6</f>
        <v>0.61742238631543267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spans="1:31" x14ac:dyDescent="0.15">
      <c r="A59" s="60"/>
      <c r="B59" s="60"/>
      <c r="C59" s="32">
        <f t="shared" ref="C59" ca="1" si="778">C58*B58</f>
        <v>41.367299883133988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spans="1:31" x14ac:dyDescent="0.15">
      <c r="A60" s="59">
        <v>43083</v>
      </c>
      <c r="B60" s="60">
        <f t="shared" ref="B60" ca="1" si="779">RANDBETWEEN(10,150)</f>
        <v>86</v>
      </c>
      <c r="C60" s="31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spans="1:31" x14ac:dyDescent="0.15">
      <c r="A61" s="60"/>
      <c r="B61" s="60"/>
      <c r="C61" s="32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spans="1:31" x14ac:dyDescent="0.15">
      <c r="B62" s="68"/>
    </row>
    <row r="63" spans="1:31" x14ac:dyDescent="0.15">
      <c r="B63" s="68"/>
    </row>
    <row r="64" spans="1:31" x14ac:dyDescent="0.15">
      <c r="B64" s="68"/>
    </row>
    <row r="65" spans="2:2" x14ac:dyDescent="0.15">
      <c r="B65" s="68"/>
    </row>
    <row r="66" spans="2:2" x14ac:dyDescent="0.15">
      <c r="B66" s="68"/>
    </row>
    <row r="67" spans="2:2" x14ac:dyDescent="0.15">
      <c r="B67" s="68"/>
    </row>
    <row r="68" spans="2:2" x14ac:dyDescent="0.15">
      <c r="B68" s="68"/>
    </row>
    <row r="69" spans="2:2" x14ac:dyDescent="0.15">
      <c r="B69" s="68"/>
    </row>
    <row r="70" spans="2:2" x14ac:dyDescent="0.15">
      <c r="B70" s="68"/>
    </row>
    <row r="71" spans="2:2" x14ac:dyDescent="0.15">
      <c r="B71" s="68"/>
    </row>
    <row r="72" spans="2:2" x14ac:dyDescent="0.15">
      <c r="B72" s="68"/>
    </row>
    <row r="73" spans="2:2" x14ac:dyDescent="0.15">
      <c r="B73" s="68"/>
    </row>
  </sheetData>
  <mergeCells count="66">
    <mergeCell ref="B66:B67"/>
    <mergeCell ref="B68:B69"/>
    <mergeCell ref="B70:B71"/>
    <mergeCell ref="B72:B73"/>
    <mergeCell ref="B54:B55"/>
    <mergeCell ref="B56:B57"/>
    <mergeCell ref="B58:B59"/>
    <mergeCell ref="B60:B61"/>
    <mergeCell ref="B62:B63"/>
    <mergeCell ref="B64:B65"/>
    <mergeCell ref="B52:B53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18:B19"/>
    <mergeCell ref="B20:B21"/>
    <mergeCell ref="B22:B23"/>
    <mergeCell ref="B24:B25"/>
    <mergeCell ref="B26:B27"/>
    <mergeCell ref="B28:B29"/>
    <mergeCell ref="A60:A61"/>
    <mergeCell ref="B2:B3"/>
    <mergeCell ref="B4:B5"/>
    <mergeCell ref="B6:B7"/>
    <mergeCell ref="B8:B9"/>
    <mergeCell ref="B10:B11"/>
    <mergeCell ref="B12:B13"/>
    <mergeCell ref="B14:B15"/>
    <mergeCell ref="B16:B17"/>
    <mergeCell ref="A48:A49"/>
    <mergeCell ref="A50:A51"/>
    <mergeCell ref="A52:A53"/>
    <mergeCell ref="A54:A55"/>
    <mergeCell ref="A56:A57"/>
    <mergeCell ref="A58:A59"/>
    <mergeCell ref="A46:A47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22:A23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workbookViewId="0">
      <selection activeCell="T40" sqref="T40"/>
    </sheetView>
  </sheetViews>
  <sheetFormatPr defaultRowHeight="13.5" x14ac:dyDescent="0.15"/>
  <cols>
    <col min="1" max="1" width="9.25" bestFit="1" customWidth="1"/>
    <col min="10" max="10" width="9.25" bestFit="1" customWidth="1"/>
    <col min="20" max="20" width="9.5" bestFit="1" customWidth="1"/>
  </cols>
  <sheetData>
    <row r="1" spans="1:25" x14ac:dyDescent="0.15">
      <c r="A1" t="s">
        <v>1</v>
      </c>
      <c r="B1" s="3" t="s">
        <v>11</v>
      </c>
      <c r="C1" s="3" t="s">
        <v>12</v>
      </c>
      <c r="D1" s="3" t="s">
        <v>13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</row>
    <row r="2" spans="1:25" x14ac:dyDescent="0.15">
      <c r="A2" s="19">
        <v>43073</v>
      </c>
      <c r="B2">
        <v>1000</v>
      </c>
      <c r="C2">
        <v>500</v>
      </c>
      <c r="D2">
        <v>320</v>
      </c>
      <c r="E2">
        <v>240</v>
      </c>
      <c r="F2">
        <v>180</v>
      </c>
      <c r="G2">
        <v>150</v>
      </c>
      <c r="H2">
        <v>130</v>
      </c>
      <c r="I2">
        <v>120</v>
      </c>
      <c r="J2">
        <v>115</v>
      </c>
      <c r="K2">
        <v>110</v>
      </c>
      <c r="L2">
        <v>111</v>
      </c>
    </row>
    <row r="3" spans="1:25" x14ac:dyDescent="0.15">
      <c r="A3" s="19">
        <v>43074</v>
      </c>
      <c r="B3">
        <v>1000</v>
      </c>
      <c r="C3">
        <v>500</v>
      </c>
      <c r="D3">
        <v>320</v>
      </c>
      <c r="E3">
        <v>240</v>
      </c>
      <c r="F3">
        <v>180</v>
      </c>
      <c r="G3">
        <v>150</v>
      </c>
      <c r="H3">
        <v>130</v>
      </c>
      <c r="I3">
        <v>120</v>
      </c>
      <c r="J3">
        <v>115</v>
      </c>
      <c r="K3">
        <v>110</v>
      </c>
    </row>
    <row r="4" spans="1:25" x14ac:dyDescent="0.15">
      <c r="A4" s="19">
        <v>43075</v>
      </c>
      <c r="B4">
        <v>1000</v>
      </c>
      <c r="C4">
        <v>500</v>
      </c>
      <c r="D4">
        <v>320</v>
      </c>
      <c r="E4">
        <v>240</v>
      </c>
      <c r="F4">
        <v>180</v>
      </c>
      <c r="G4">
        <v>150</v>
      </c>
      <c r="H4">
        <v>130</v>
      </c>
      <c r="I4">
        <v>120</v>
      </c>
      <c r="J4">
        <v>115</v>
      </c>
    </row>
    <row r="5" spans="1:25" x14ac:dyDescent="0.15">
      <c r="A5" s="19">
        <v>43076</v>
      </c>
      <c r="B5">
        <v>1000</v>
      </c>
      <c r="C5">
        <v>500</v>
      </c>
      <c r="D5">
        <v>320</v>
      </c>
      <c r="E5">
        <v>240</v>
      </c>
      <c r="F5">
        <v>180</v>
      </c>
      <c r="G5">
        <v>150</v>
      </c>
      <c r="H5">
        <v>130</v>
      </c>
      <c r="I5">
        <v>120</v>
      </c>
    </row>
    <row r="6" spans="1:25" x14ac:dyDescent="0.15">
      <c r="A6" s="19">
        <v>43077</v>
      </c>
      <c r="B6">
        <v>1000</v>
      </c>
      <c r="C6">
        <v>500</v>
      </c>
      <c r="D6">
        <v>320</v>
      </c>
      <c r="E6">
        <v>240</v>
      </c>
      <c r="F6">
        <v>180</v>
      </c>
      <c r="G6">
        <v>150</v>
      </c>
      <c r="H6">
        <v>130</v>
      </c>
    </row>
    <row r="7" spans="1:25" x14ac:dyDescent="0.15">
      <c r="A7" s="19">
        <v>43078</v>
      </c>
      <c r="B7">
        <v>1000</v>
      </c>
      <c r="C7">
        <v>500</v>
      </c>
      <c r="D7">
        <v>320</v>
      </c>
      <c r="E7">
        <v>240</v>
      </c>
      <c r="F7">
        <v>180</v>
      </c>
      <c r="G7">
        <v>150</v>
      </c>
    </row>
    <row r="8" spans="1:25" x14ac:dyDescent="0.15">
      <c r="A8" s="19">
        <v>43079</v>
      </c>
      <c r="B8">
        <v>1000</v>
      </c>
      <c r="C8">
        <v>500</v>
      </c>
      <c r="D8">
        <v>320</v>
      </c>
      <c r="E8">
        <v>240</v>
      </c>
      <c r="F8">
        <v>180</v>
      </c>
    </row>
    <row r="9" spans="1:25" x14ac:dyDescent="0.15">
      <c r="A9" s="19">
        <v>43080</v>
      </c>
      <c r="B9">
        <v>1000</v>
      </c>
      <c r="C9">
        <v>500</v>
      </c>
      <c r="D9">
        <v>320</v>
      </c>
      <c r="E9">
        <v>240</v>
      </c>
    </row>
    <row r="10" spans="1:25" x14ac:dyDescent="0.15">
      <c r="A10" s="19">
        <v>43081</v>
      </c>
      <c r="B10">
        <v>1000</v>
      </c>
      <c r="C10">
        <v>500</v>
      </c>
      <c r="D10">
        <v>320</v>
      </c>
    </row>
    <row r="11" spans="1:25" x14ac:dyDescent="0.15">
      <c r="A11" s="19">
        <v>43082</v>
      </c>
      <c r="B11">
        <v>1000</v>
      </c>
      <c r="C11">
        <v>500</v>
      </c>
    </row>
    <row r="12" spans="1:25" x14ac:dyDescent="0.15">
      <c r="A12" s="19">
        <v>43083</v>
      </c>
      <c r="B12">
        <v>1000</v>
      </c>
    </row>
    <row r="13" spans="1:25" x14ac:dyDescent="0.15">
      <c r="A13" s="19"/>
    </row>
    <row r="14" spans="1:25" x14ac:dyDescent="0.15">
      <c r="A14" t="s">
        <v>128</v>
      </c>
      <c r="B14" t="s">
        <v>120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</row>
    <row r="15" spans="1:25" x14ac:dyDescent="0.15">
      <c r="A15" s="19">
        <v>43058</v>
      </c>
      <c r="B15">
        <f t="shared" ref="B15:B33" ca="1" si="0">RANDBETWEEN(800,1200)</f>
        <v>856</v>
      </c>
      <c r="C15">
        <f t="shared" ref="C15:C33" ca="1" si="1">RANDBETWEEN(600,800)</f>
        <v>686</v>
      </c>
      <c r="D15">
        <f t="shared" ref="D15:D33" ca="1" si="2">RANDBETWEEN(450,600)</f>
        <v>495</v>
      </c>
      <c r="E15">
        <f t="shared" ref="E15:E33" ca="1" si="3">RANDBETWEEN(325,450)</f>
        <v>368</v>
      </c>
      <c r="F15">
        <f t="shared" ref="F15:F33" ca="1" si="4">RANDBETWEEN(200,325)</f>
        <v>250</v>
      </c>
      <c r="G15">
        <f t="shared" ref="G15:G33" ca="1" si="5">RANDBETWEEN(150,200)</f>
        <v>174</v>
      </c>
      <c r="H15">
        <f t="shared" ref="H15:H33" ca="1" si="6">RANDBETWEEN(125,150)</f>
        <v>145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</row>
    <row r="16" spans="1:25" x14ac:dyDescent="0.15">
      <c r="A16" s="19">
        <v>43059</v>
      </c>
      <c r="B16">
        <f t="shared" ca="1" si="0"/>
        <v>841</v>
      </c>
      <c r="C16">
        <f t="shared" ca="1" si="1"/>
        <v>646</v>
      </c>
      <c r="D16">
        <f t="shared" ca="1" si="2"/>
        <v>485</v>
      </c>
      <c r="E16">
        <f t="shared" ca="1" si="3"/>
        <v>416</v>
      </c>
      <c r="F16">
        <f t="shared" ca="1" si="4"/>
        <v>278</v>
      </c>
      <c r="G16">
        <f t="shared" ca="1" si="5"/>
        <v>183</v>
      </c>
      <c r="H16">
        <f t="shared" ca="1" si="6"/>
        <v>147</v>
      </c>
      <c r="R16" s="19">
        <v>43077</v>
      </c>
      <c r="S16">
        <v>1192</v>
      </c>
      <c r="T16">
        <v>677</v>
      </c>
      <c r="U16">
        <v>577</v>
      </c>
      <c r="V16">
        <v>427</v>
      </c>
      <c r="W16">
        <v>256</v>
      </c>
      <c r="X16">
        <v>200</v>
      </c>
      <c r="Y16">
        <v>142</v>
      </c>
    </row>
    <row r="17" spans="1:25" x14ac:dyDescent="0.15">
      <c r="A17" s="19">
        <v>43060</v>
      </c>
      <c r="B17">
        <f t="shared" ca="1" si="0"/>
        <v>1007</v>
      </c>
      <c r="C17">
        <f t="shared" ca="1" si="1"/>
        <v>788</v>
      </c>
      <c r="D17">
        <f t="shared" ca="1" si="2"/>
        <v>482</v>
      </c>
      <c r="E17">
        <f t="shared" ca="1" si="3"/>
        <v>386</v>
      </c>
      <c r="F17">
        <f t="shared" ca="1" si="4"/>
        <v>270</v>
      </c>
      <c r="G17">
        <f t="shared" ca="1" si="5"/>
        <v>192</v>
      </c>
      <c r="H17">
        <f t="shared" ca="1" si="6"/>
        <v>132</v>
      </c>
      <c r="R17" s="19">
        <v>43078</v>
      </c>
      <c r="S17">
        <v>963</v>
      </c>
      <c r="T17">
        <v>712</v>
      </c>
      <c r="U17">
        <v>587</v>
      </c>
      <c r="V17">
        <v>401</v>
      </c>
      <c r="W17">
        <v>302</v>
      </c>
      <c r="X17">
        <v>179</v>
      </c>
      <c r="Y17">
        <v>126</v>
      </c>
    </row>
    <row r="18" spans="1:25" x14ac:dyDescent="0.15">
      <c r="A18" s="19">
        <v>43061</v>
      </c>
      <c r="B18">
        <f t="shared" ca="1" si="0"/>
        <v>1078</v>
      </c>
      <c r="C18">
        <f t="shared" ca="1" si="1"/>
        <v>800</v>
      </c>
      <c r="D18">
        <f t="shared" ca="1" si="2"/>
        <v>586</v>
      </c>
      <c r="E18">
        <f t="shared" ca="1" si="3"/>
        <v>368</v>
      </c>
      <c r="F18">
        <f t="shared" ca="1" si="4"/>
        <v>271</v>
      </c>
      <c r="G18">
        <f t="shared" ca="1" si="5"/>
        <v>165</v>
      </c>
      <c r="H18">
        <f t="shared" ca="1" si="6"/>
        <v>127</v>
      </c>
      <c r="R18" s="19">
        <v>43079</v>
      </c>
      <c r="S18">
        <v>1198</v>
      </c>
      <c r="T18">
        <v>680</v>
      </c>
      <c r="U18">
        <v>568</v>
      </c>
      <c r="V18">
        <v>389</v>
      </c>
      <c r="W18">
        <v>236</v>
      </c>
      <c r="X18">
        <v>156</v>
      </c>
      <c r="Y18">
        <v>136</v>
      </c>
    </row>
    <row r="19" spans="1:25" x14ac:dyDescent="0.15">
      <c r="A19" s="19">
        <v>43062</v>
      </c>
      <c r="B19">
        <f t="shared" ca="1" si="0"/>
        <v>942</v>
      </c>
      <c r="C19">
        <f t="shared" ca="1" si="1"/>
        <v>616</v>
      </c>
      <c r="D19">
        <f t="shared" ca="1" si="2"/>
        <v>573</v>
      </c>
      <c r="E19">
        <f t="shared" ca="1" si="3"/>
        <v>421</v>
      </c>
      <c r="F19">
        <f t="shared" ca="1" si="4"/>
        <v>309</v>
      </c>
      <c r="G19">
        <f t="shared" ca="1" si="5"/>
        <v>190</v>
      </c>
      <c r="H19">
        <f t="shared" ca="1" si="6"/>
        <v>127</v>
      </c>
      <c r="R19" s="19">
        <v>43080</v>
      </c>
      <c r="S19">
        <v>956</v>
      </c>
      <c r="T19">
        <v>785</v>
      </c>
      <c r="U19">
        <v>472</v>
      </c>
      <c r="V19">
        <v>431</v>
      </c>
      <c r="W19">
        <v>208</v>
      </c>
      <c r="X19">
        <v>169</v>
      </c>
      <c r="Y19">
        <v>142</v>
      </c>
    </row>
    <row r="20" spans="1:25" x14ac:dyDescent="0.15">
      <c r="A20" s="19">
        <v>43063</v>
      </c>
      <c r="B20">
        <f t="shared" ca="1" si="0"/>
        <v>863</v>
      </c>
      <c r="C20">
        <f t="shared" ca="1" si="1"/>
        <v>678</v>
      </c>
      <c r="D20">
        <f t="shared" ca="1" si="2"/>
        <v>568</v>
      </c>
      <c r="E20">
        <f t="shared" ca="1" si="3"/>
        <v>379</v>
      </c>
      <c r="F20">
        <f t="shared" ca="1" si="4"/>
        <v>232</v>
      </c>
      <c r="G20">
        <f t="shared" ca="1" si="5"/>
        <v>172</v>
      </c>
      <c r="H20">
        <f t="shared" ca="1" si="6"/>
        <v>138</v>
      </c>
      <c r="R20" s="19">
        <v>43081</v>
      </c>
      <c r="S20">
        <v>882</v>
      </c>
      <c r="T20">
        <v>638</v>
      </c>
      <c r="U20">
        <v>548</v>
      </c>
      <c r="V20">
        <v>444</v>
      </c>
      <c r="W20">
        <v>256</v>
      </c>
      <c r="X20">
        <v>180</v>
      </c>
      <c r="Y20">
        <v>130</v>
      </c>
    </row>
    <row r="21" spans="1:25" x14ac:dyDescent="0.15">
      <c r="A21" s="19">
        <v>43064</v>
      </c>
      <c r="B21">
        <f t="shared" ca="1" si="0"/>
        <v>945</v>
      </c>
      <c r="C21">
        <f t="shared" ca="1" si="1"/>
        <v>788</v>
      </c>
      <c r="D21">
        <f t="shared" ca="1" si="2"/>
        <v>512</v>
      </c>
      <c r="E21">
        <f t="shared" ca="1" si="3"/>
        <v>386</v>
      </c>
      <c r="F21">
        <f t="shared" ca="1" si="4"/>
        <v>216</v>
      </c>
      <c r="G21">
        <f t="shared" ca="1" si="5"/>
        <v>200</v>
      </c>
      <c r="H21">
        <f t="shared" ca="1" si="6"/>
        <v>132</v>
      </c>
      <c r="R21" s="19">
        <v>43082</v>
      </c>
      <c r="S21">
        <v>1062</v>
      </c>
      <c r="T21">
        <v>614</v>
      </c>
      <c r="U21">
        <v>477</v>
      </c>
      <c r="V21">
        <v>369</v>
      </c>
      <c r="W21">
        <v>240</v>
      </c>
      <c r="X21">
        <v>162</v>
      </c>
      <c r="Y21">
        <v>148</v>
      </c>
    </row>
    <row r="22" spans="1:25" x14ac:dyDescent="0.15">
      <c r="A22" s="19">
        <v>43065</v>
      </c>
      <c r="B22">
        <f t="shared" ca="1" si="0"/>
        <v>1058</v>
      </c>
      <c r="C22">
        <f t="shared" ca="1" si="1"/>
        <v>768</v>
      </c>
      <c r="D22">
        <f t="shared" ca="1" si="2"/>
        <v>492</v>
      </c>
      <c r="E22">
        <f t="shared" ca="1" si="3"/>
        <v>434</v>
      </c>
      <c r="F22">
        <f t="shared" ca="1" si="4"/>
        <v>293</v>
      </c>
      <c r="G22">
        <f t="shared" ca="1" si="5"/>
        <v>199</v>
      </c>
      <c r="H22">
        <f t="shared" ca="1" si="6"/>
        <v>131</v>
      </c>
      <c r="R22" s="19">
        <v>43083</v>
      </c>
      <c r="S22">
        <v>1110</v>
      </c>
      <c r="T22">
        <v>600</v>
      </c>
      <c r="U22">
        <v>531</v>
      </c>
      <c r="V22">
        <v>393</v>
      </c>
      <c r="W22">
        <v>218</v>
      </c>
      <c r="X22">
        <v>182</v>
      </c>
      <c r="Y22">
        <v>132</v>
      </c>
    </row>
    <row r="23" spans="1:25" x14ac:dyDescent="0.15">
      <c r="A23" s="19">
        <v>43066</v>
      </c>
      <c r="B23">
        <f t="shared" ca="1" si="0"/>
        <v>1142</v>
      </c>
      <c r="C23">
        <f t="shared" ca="1" si="1"/>
        <v>725</v>
      </c>
      <c r="D23">
        <f t="shared" ca="1" si="2"/>
        <v>587</v>
      </c>
      <c r="E23">
        <f t="shared" ca="1" si="3"/>
        <v>378</v>
      </c>
      <c r="F23">
        <f t="shared" ca="1" si="4"/>
        <v>242</v>
      </c>
      <c r="G23">
        <f t="shared" ca="1" si="5"/>
        <v>181</v>
      </c>
      <c r="H23">
        <f t="shared" ca="1" si="6"/>
        <v>125</v>
      </c>
    </row>
    <row r="24" spans="1:25" x14ac:dyDescent="0.15">
      <c r="A24" s="19">
        <v>43067</v>
      </c>
      <c r="B24">
        <f t="shared" ca="1" si="0"/>
        <v>988</v>
      </c>
      <c r="C24">
        <f t="shared" ca="1" si="1"/>
        <v>700</v>
      </c>
      <c r="D24">
        <f t="shared" ca="1" si="2"/>
        <v>514</v>
      </c>
      <c r="E24">
        <f t="shared" ca="1" si="3"/>
        <v>444</v>
      </c>
      <c r="F24">
        <f t="shared" ca="1" si="4"/>
        <v>221</v>
      </c>
      <c r="G24">
        <f t="shared" ca="1" si="5"/>
        <v>190</v>
      </c>
      <c r="H24">
        <f t="shared" ca="1" si="6"/>
        <v>145</v>
      </c>
    </row>
    <row r="25" spans="1:25" x14ac:dyDescent="0.15">
      <c r="A25" s="19">
        <v>43068</v>
      </c>
      <c r="B25">
        <f t="shared" ca="1" si="0"/>
        <v>1069</v>
      </c>
      <c r="C25">
        <f t="shared" ca="1" si="1"/>
        <v>740</v>
      </c>
      <c r="D25">
        <f t="shared" ca="1" si="2"/>
        <v>459</v>
      </c>
      <c r="E25">
        <f t="shared" ca="1" si="3"/>
        <v>449</v>
      </c>
      <c r="F25">
        <f t="shared" ca="1" si="4"/>
        <v>257</v>
      </c>
      <c r="G25">
        <f t="shared" ca="1" si="5"/>
        <v>198</v>
      </c>
      <c r="H25">
        <f t="shared" ca="1" si="6"/>
        <v>135</v>
      </c>
    </row>
    <row r="26" spans="1:25" x14ac:dyDescent="0.15">
      <c r="A26" s="19">
        <v>43069</v>
      </c>
      <c r="B26">
        <f t="shared" ca="1" si="0"/>
        <v>894</v>
      </c>
      <c r="C26">
        <f t="shared" ca="1" si="1"/>
        <v>794</v>
      </c>
      <c r="D26">
        <f t="shared" ca="1" si="2"/>
        <v>461</v>
      </c>
      <c r="E26">
        <f t="shared" ca="1" si="3"/>
        <v>386</v>
      </c>
      <c r="F26">
        <f t="shared" ca="1" si="4"/>
        <v>237</v>
      </c>
      <c r="G26">
        <f t="shared" ca="1" si="5"/>
        <v>182</v>
      </c>
      <c r="H26">
        <f t="shared" ca="1" si="6"/>
        <v>131</v>
      </c>
    </row>
    <row r="27" spans="1:25" x14ac:dyDescent="0.15">
      <c r="A27" s="19">
        <v>43070</v>
      </c>
      <c r="B27">
        <f t="shared" ca="1" si="0"/>
        <v>1103</v>
      </c>
      <c r="C27">
        <f t="shared" ca="1" si="1"/>
        <v>791</v>
      </c>
      <c r="D27">
        <f t="shared" ca="1" si="2"/>
        <v>513</v>
      </c>
      <c r="E27">
        <f t="shared" ca="1" si="3"/>
        <v>411</v>
      </c>
      <c r="F27">
        <f t="shared" ca="1" si="4"/>
        <v>259</v>
      </c>
      <c r="G27">
        <f t="shared" ca="1" si="5"/>
        <v>181</v>
      </c>
      <c r="H27">
        <f t="shared" ca="1" si="6"/>
        <v>133</v>
      </c>
    </row>
    <row r="28" spans="1:25" x14ac:dyDescent="0.15">
      <c r="A28" s="19">
        <v>43071</v>
      </c>
      <c r="B28">
        <f t="shared" ca="1" si="0"/>
        <v>1144</v>
      </c>
      <c r="C28">
        <f t="shared" ca="1" si="1"/>
        <v>733</v>
      </c>
      <c r="D28">
        <f t="shared" ca="1" si="2"/>
        <v>537</v>
      </c>
      <c r="E28">
        <f t="shared" ca="1" si="3"/>
        <v>352</v>
      </c>
      <c r="F28">
        <f t="shared" ca="1" si="4"/>
        <v>324</v>
      </c>
      <c r="G28">
        <f t="shared" ca="1" si="5"/>
        <v>186</v>
      </c>
      <c r="H28">
        <f t="shared" ca="1" si="6"/>
        <v>127</v>
      </c>
    </row>
    <row r="29" spans="1:25" x14ac:dyDescent="0.15">
      <c r="A29" s="19">
        <v>43072</v>
      </c>
      <c r="B29">
        <f t="shared" ca="1" si="0"/>
        <v>1050</v>
      </c>
      <c r="C29">
        <f t="shared" ca="1" si="1"/>
        <v>796</v>
      </c>
      <c r="D29">
        <f t="shared" ca="1" si="2"/>
        <v>535</v>
      </c>
      <c r="E29">
        <f t="shared" ca="1" si="3"/>
        <v>445</v>
      </c>
      <c r="F29">
        <f t="shared" ca="1" si="4"/>
        <v>283</v>
      </c>
      <c r="G29">
        <f t="shared" ca="1" si="5"/>
        <v>185</v>
      </c>
      <c r="H29">
        <f t="shared" ca="1" si="6"/>
        <v>140</v>
      </c>
    </row>
    <row r="30" spans="1:25" x14ac:dyDescent="0.15">
      <c r="A30" s="19">
        <v>43073</v>
      </c>
      <c r="B30">
        <f t="shared" ca="1" si="0"/>
        <v>1064</v>
      </c>
      <c r="C30">
        <f t="shared" ca="1" si="1"/>
        <v>607</v>
      </c>
      <c r="D30">
        <f t="shared" ca="1" si="2"/>
        <v>549</v>
      </c>
      <c r="E30">
        <f t="shared" ca="1" si="3"/>
        <v>407</v>
      </c>
      <c r="F30">
        <f t="shared" ca="1" si="4"/>
        <v>274</v>
      </c>
      <c r="G30">
        <f t="shared" ca="1" si="5"/>
        <v>181</v>
      </c>
      <c r="H30">
        <f t="shared" ca="1" si="6"/>
        <v>132</v>
      </c>
    </row>
    <row r="31" spans="1:25" x14ac:dyDescent="0.15">
      <c r="A31" s="19">
        <v>43074</v>
      </c>
      <c r="B31">
        <f t="shared" ca="1" si="0"/>
        <v>1097</v>
      </c>
      <c r="C31">
        <f t="shared" ca="1" si="1"/>
        <v>638</v>
      </c>
      <c r="D31">
        <f t="shared" ca="1" si="2"/>
        <v>501</v>
      </c>
      <c r="E31">
        <f t="shared" ca="1" si="3"/>
        <v>426</v>
      </c>
      <c r="F31">
        <f t="shared" ca="1" si="4"/>
        <v>221</v>
      </c>
      <c r="G31">
        <f t="shared" ca="1" si="5"/>
        <v>158</v>
      </c>
      <c r="H31">
        <f t="shared" ca="1" si="6"/>
        <v>128</v>
      </c>
    </row>
    <row r="32" spans="1:25" x14ac:dyDescent="0.15">
      <c r="A32" s="19">
        <v>43075</v>
      </c>
      <c r="B32">
        <f t="shared" ca="1" si="0"/>
        <v>823</v>
      </c>
      <c r="C32">
        <f t="shared" ca="1" si="1"/>
        <v>693</v>
      </c>
      <c r="D32">
        <f t="shared" ca="1" si="2"/>
        <v>585</v>
      </c>
      <c r="E32">
        <f t="shared" ca="1" si="3"/>
        <v>425</v>
      </c>
      <c r="F32">
        <f t="shared" ca="1" si="4"/>
        <v>275</v>
      </c>
      <c r="G32">
        <f t="shared" ca="1" si="5"/>
        <v>154</v>
      </c>
      <c r="H32">
        <f t="shared" ca="1" si="6"/>
        <v>140</v>
      </c>
    </row>
    <row r="33" spans="1:26" x14ac:dyDescent="0.15">
      <c r="A33" s="19">
        <v>43076</v>
      </c>
      <c r="B33">
        <f t="shared" ca="1" si="0"/>
        <v>927</v>
      </c>
      <c r="C33">
        <f t="shared" ca="1" si="1"/>
        <v>687</v>
      </c>
      <c r="D33">
        <f t="shared" ca="1" si="2"/>
        <v>520</v>
      </c>
      <c r="E33">
        <f t="shared" ca="1" si="3"/>
        <v>417</v>
      </c>
      <c r="F33">
        <f t="shared" ca="1" si="4"/>
        <v>207</v>
      </c>
      <c r="G33">
        <f t="shared" ca="1" si="5"/>
        <v>164</v>
      </c>
      <c r="H33">
        <f t="shared" ca="1" si="6"/>
        <v>134</v>
      </c>
      <c r="T33" t="s">
        <v>136</v>
      </c>
      <c r="U33" t="s">
        <v>137</v>
      </c>
      <c r="V33" t="s">
        <v>138</v>
      </c>
      <c r="X33" t="s">
        <v>139</v>
      </c>
      <c r="Y33" t="s">
        <v>57</v>
      </c>
      <c r="Z33" t="s">
        <v>140</v>
      </c>
    </row>
    <row r="34" spans="1:26" x14ac:dyDescent="0.15">
      <c r="A34" s="19"/>
      <c r="S34" s="19">
        <v>43071</v>
      </c>
      <c r="W34" s="19">
        <v>43071</v>
      </c>
      <c r="X34">
        <f t="shared" ref="X34:X39" ca="1" si="7">RANDBETWEEN(3600,7200)</f>
        <v>4254</v>
      </c>
      <c r="Y34">
        <f t="shared" ref="Y34:Y39" ca="1" si="8">RANDBETWEEN(3600,12000)</f>
        <v>10389</v>
      </c>
      <c r="Z34">
        <f t="shared" ref="Z34:Z39" ca="1" si="9">RANDBETWEEN(2000,5000)</f>
        <v>3803</v>
      </c>
    </row>
    <row r="35" spans="1:26" x14ac:dyDescent="0.15">
      <c r="A35" s="19"/>
      <c r="S35" s="19">
        <v>43072</v>
      </c>
      <c r="W35" s="19">
        <v>43072</v>
      </c>
      <c r="X35">
        <f t="shared" ca="1" si="7"/>
        <v>6766</v>
      </c>
      <c r="Y35">
        <f t="shared" ca="1" si="8"/>
        <v>6838</v>
      </c>
      <c r="Z35">
        <f t="shared" ca="1" si="9"/>
        <v>3124</v>
      </c>
    </row>
    <row r="36" spans="1:26" x14ac:dyDescent="0.15">
      <c r="A36" s="19"/>
      <c r="S36" s="19">
        <v>43073</v>
      </c>
      <c r="W36" s="19">
        <v>43073</v>
      </c>
      <c r="X36">
        <f t="shared" ca="1" si="7"/>
        <v>4452</v>
      </c>
      <c r="Y36">
        <f t="shared" ca="1" si="8"/>
        <v>5476</v>
      </c>
      <c r="Z36">
        <f t="shared" ca="1" si="9"/>
        <v>3893</v>
      </c>
    </row>
    <row r="37" spans="1:26" x14ac:dyDescent="0.15">
      <c r="A37" s="19"/>
      <c r="S37" s="19">
        <v>43074</v>
      </c>
      <c r="W37" s="19">
        <v>43074</v>
      </c>
      <c r="X37">
        <f t="shared" ca="1" si="7"/>
        <v>5200</v>
      </c>
      <c r="Y37">
        <f t="shared" ca="1" si="8"/>
        <v>10319</v>
      </c>
      <c r="Z37">
        <f t="shared" ca="1" si="9"/>
        <v>3355</v>
      </c>
    </row>
    <row r="38" spans="1:26" x14ac:dyDescent="0.15">
      <c r="A38" s="19"/>
      <c r="S38" s="19">
        <v>43075</v>
      </c>
      <c r="W38" s="19">
        <v>43075</v>
      </c>
      <c r="X38">
        <f t="shared" ca="1" si="7"/>
        <v>5743</v>
      </c>
      <c r="Y38">
        <f t="shared" ca="1" si="8"/>
        <v>3890</v>
      </c>
      <c r="Z38">
        <f t="shared" ca="1" si="9"/>
        <v>4723</v>
      </c>
    </row>
    <row r="39" spans="1:26" x14ac:dyDescent="0.15">
      <c r="A39" s="19"/>
      <c r="S39" s="19">
        <v>43076</v>
      </c>
      <c r="W39" s="19">
        <v>43076</v>
      </c>
      <c r="X39">
        <f t="shared" ca="1" si="7"/>
        <v>5038</v>
      </c>
      <c r="Y39">
        <f t="shared" ca="1" si="8"/>
        <v>11079</v>
      </c>
      <c r="Z39">
        <f t="shared" ca="1" si="9"/>
        <v>2464</v>
      </c>
    </row>
    <row r="40" spans="1:26" x14ac:dyDescent="0.15">
      <c r="A40" s="19">
        <v>43077</v>
      </c>
      <c r="B40">
        <f t="shared" ref="B40:B46" ca="1" si="10">RANDBETWEEN(800,1200)</f>
        <v>888</v>
      </c>
      <c r="C40">
        <f t="shared" ref="C40:C45" ca="1" si="11">RANDBETWEEN(600,800)</f>
        <v>742</v>
      </c>
      <c r="D40">
        <f ca="1">RANDBETWEEN(450,600)</f>
        <v>594</v>
      </c>
      <c r="E40">
        <f ca="1">RANDBETWEEN(325,450)</f>
        <v>367</v>
      </c>
      <c r="F40">
        <f ca="1">RANDBETWEEN(200,325)</f>
        <v>236</v>
      </c>
      <c r="G40">
        <f ca="1">RANDBETWEEN(150,200)</f>
        <v>198</v>
      </c>
      <c r="H40">
        <f ca="1">RANDBETWEEN(125,150)</f>
        <v>146</v>
      </c>
      <c r="J40" s="19">
        <v>43077</v>
      </c>
      <c r="K40">
        <f t="shared" ref="K40:K46" ca="1" si="12">B40</f>
        <v>888</v>
      </c>
      <c r="L40">
        <f ca="1">C33</f>
        <v>687</v>
      </c>
      <c r="M40">
        <f ca="1">D32</f>
        <v>585</v>
      </c>
      <c r="N40">
        <f ca="1">E31</f>
        <v>426</v>
      </c>
      <c r="O40">
        <f ca="1">F30</f>
        <v>274</v>
      </c>
      <c r="P40">
        <f ca="1">G29</f>
        <v>185</v>
      </c>
      <c r="Q40">
        <f t="shared" ref="Q40:Q45" ca="1" si="13">H28</f>
        <v>127</v>
      </c>
      <c r="S40" s="19">
        <v>43077</v>
      </c>
      <c r="T40" s="22" t="str">
        <f t="shared" ref="T40:V46" ca="1" si="14">TEXT(X40/86400,"hh:mm:ss")</f>
        <v>01:27:26</v>
      </c>
      <c r="U40" s="22" t="str">
        <f t="shared" ca="1" si="14"/>
        <v>02:18:35</v>
      </c>
      <c r="V40" s="22" t="str">
        <f t="shared" ca="1" si="14"/>
        <v>00:39:06</v>
      </c>
      <c r="W40" s="19">
        <v>43077</v>
      </c>
      <c r="X40">
        <f t="shared" ref="X40:X46" ca="1" si="15">RANDBETWEEN(3600,7200)</f>
        <v>5246</v>
      </c>
      <c r="Y40">
        <f t="shared" ref="Y40:Y46" ca="1" si="16">RANDBETWEEN(3600,12000)</f>
        <v>8315</v>
      </c>
      <c r="Z40">
        <f t="shared" ref="Z40:Z46" ca="1" si="17">RANDBETWEEN(2000,5000)</f>
        <v>2346</v>
      </c>
    </row>
    <row r="41" spans="1:26" x14ac:dyDescent="0.15">
      <c r="A41" s="19">
        <v>43078</v>
      </c>
      <c r="B41">
        <f t="shared" ca="1" si="10"/>
        <v>973</v>
      </c>
      <c r="C41">
        <f t="shared" ca="1" si="11"/>
        <v>649</v>
      </c>
      <c r="D41">
        <f ca="1">RANDBETWEEN(450,600)</f>
        <v>521</v>
      </c>
      <c r="E41">
        <f ca="1">RANDBETWEEN(325,450)</f>
        <v>409</v>
      </c>
      <c r="F41">
        <f ca="1">RANDBETWEEN(200,325)</f>
        <v>266</v>
      </c>
      <c r="G41">
        <f ca="1">RANDBETWEEN(150,200)</f>
        <v>180</v>
      </c>
      <c r="J41" s="19">
        <v>43078</v>
      </c>
      <c r="K41">
        <f t="shared" ca="1" si="12"/>
        <v>973</v>
      </c>
      <c r="L41">
        <f t="shared" ref="L41:L46" ca="1" si="18">C40</f>
        <v>742</v>
      </c>
      <c r="M41">
        <f ca="1">D33</f>
        <v>520</v>
      </c>
      <c r="N41">
        <f ca="1">E32</f>
        <v>425</v>
      </c>
      <c r="O41">
        <f ca="1">F31</f>
        <v>221</v>
      </c>
      <c r="P41">
        <f ca="1">G30</f>
        <v>181</v>
      </c>
      <c r="Q41">
        <f t="shared" ca="1" si="13"/>
        <v>140</v>
      </c>
      <c r="S41" s="19">
        <v>43078</v>
      </c>
      <c r="T41" s="22" t="str">
        <f t="shared" ca="1" si="14"/>
        <v>01:18:47</v>
      </c>
      <c r="U41" s="22" t="str">
        <f t="shared" ca="1" si="14"/>
        <v>01:28:29</v>
      </c>
      <c r="V41" s="22" t="str">
        <f t="shared" ca="1" si="14"/>
        <v>01:08:49</v>
      </c>
      <c r="W41" s="19">
        <v>43078</v>
      </c>
      <c r="X41">
        <f t="shared" ca="1" si="15"/>
        <v>4727</v>
      </c>
      <c r="Y41">
        <f t="shared" ca="1" si="16"/>
        <v>5309</v>
      </c>
      <c r="Z41">
        <f t="shared" ca="1" si="17"/>
        <v>4129</v>
      </c>
    </row>
    <row r="42" spans="1:26" x14ac:dyDescent="0.15">
      <c r="A42" s="19">
        <v>43079</v>
      </c>
      <c r="B42">
        <f t="shared" ca="1" si="10"/>
        <v>924</v>
      </c>
      <c r="C42">
        <f t="shared" ca="1" si="11"/>
        <v>690</v>
      </c>
      <c r="D42">
        <f ca="1">RANDBETWEEN(450,600)</f>
        <v>557</v>
      </c>
      <c r="E42">
        <f ca="1">RANDBETWEEN(325,450)</f>
        <v>418</v>
      </c>
      <c r="F42">
        <f ca="1">RANDBETWEEN(200,325)</f>
        <v>294</v>
      </c>
      <c r="J42" s="19">
        <v>43079</v>
      </c>
      <c r="K42">
        <f t="shared" ca="1" si="12"/>
        <v>924</v>
      </c>
      <c r="L42">
        <f t="shared" ca="1" si="18"/>
        <v>649</v>
      </c>
      <c r="M42">
        <f ca="1">D40</f>
        <v>594</v>
      </c>
      <c r="N42">
        <f ca="1">E33</f>
        <v>417</v>
      </c>
      <c r="O42">
        <f ca="1">F32</f>
        <v>275</v>
      </c>
      <c r="P42">
        <f ca="1">G31</f>
        <v>158</v>
      </c>
      <c r="Q42">
        <f t="shared" ca="1" si="13"/>
        <v>132</v>
      </c>
      <c r="S42" s="19">
        <v>43079</v>
      </c>
      <c r="T42" s="22" t="str">
        <f t="shared" ca="1" si="14"/>
        <v>01:12:42</v>
      </c>
      <c r="U42" s="22" t="str">
        <f t="shared" ca="1" si="14"/>
        <v>01:42:20</v>
      </c>
      <c r="V42" s="22" t="str">
        <f t="shared" ca="1" si="14"/>
        <v>00:39:51</v>
      </c>
      <c r="W42" s="19">
        <v>43079</v>
      </c>
      <c r="X42">
        <f t="shared" ca="1" si="15"/>
        <v>4362</v>
      </c>
      <c r="Y42">
        <f t="shared" ca="1" si="16"/>
        <v>6140</v>
      </c>
      <c r="Z42">
        <f t="shared" ca="1" si="17"/>
        <v>2391</v>
      </c>
    </row>
    <row r="43" spans="1:26" x14ac:dyDescent="0.15">
      <c r="A43" s="19">
        <v>43080</v>
      </c>
      <c r="B43">
        <f t="shared" ca="1" si="10"/>
        <v>1050</v>
      </c>
      <c r="C43">
        <f t="shared" ca="1" si="11"/>
        <v>800</v>
      </c>
      <c r="D43">
        <f ca="1">RANDBETWEEN(450,600)</f>
        <v>566</v>
      </c>
      <c r="E43">
        <f ca="1">RANDBETWEEN(325,450)</f>
        <v>383</v>
      </c>
      <c r="J43" s="19">
        <v>43080</v>
      </c>
      <c r="K43">
        <f t="shared" ca="1" si="12"/>
        <v>1050</v>
      </c>
      <c r="L43">
        <f t="shared" ca="1" si="18"/>
        <v>690</v>
      </c>
      <c r="M43">
        <f ca="1">D41</f>
        <v>521</v>
      </c>
      <c r="N43">
        <f ca="1">E40</f>
        <v>367</v>
      </c>
      <c r="O43">
        <f ca="1">F33</f>
        <v>207</v>
      </c>
      <c r="P43">
        <f ca="1">G32</f>
        <v>154</v>
      </c>
      <c r="Q43">
        <f t="shared" ca="1" si="13"/>
        <v>128</v>
      </c>
      <c r="S43" s="19">
        <v>43080</v>
      </c>
      <c r="T43" s="22" t="str">
        <f t="shared" ca="1" si="14"/>
        <v>01:27:38</v>
      </c>
      <c r="U43" s="22" t="str">
        <f t="shared" ca="1" si="14"/>
        <v>01:05:29</v>
      </c>
      <c r="V43" s="22" t="str">
        <f t="shared" ca="1" si="14"/>
        <v>01:21:33</v>
      </c>
      <c r="W43" s="19">
        <v>43080</v>
      </c>
      <c r="X43">
        <f t="shared" ca="1" si="15"/>
        <v>5258</v>
      </c>
      <c r="Y43">
        <f t="shared" ca="1" si="16"/>
        <v>3929</v>
      </c>
      <c r="Z43">
        <f t="shared" ca="1" si="17"/>
        <v>4893</v>
      </c>
    </row>
    <row r="44" spans="1:26" x14ac:dyDescent="0.15">
      <c r="A44" s="19">
        <v>43081</v>
      </c>
      <c r="B44">
        <f t="shared" ca="1" si="10"/>
        <v>971</v>
      </c>
      <c r="C44">
        <f t="shared" ca="1" si="11"/>
        <v>643</v>
      </c>
      <c r="D44">
        <f ca="1">RANDBETWEEN(450,600)</f>
        <v>525</v>
      </c>
      <c r="J44" s="19">
        <v>43081</v>
      </c>
      <c r="K44">
        <f t="shared" ca="1" si="12"/>
        <v>971</v>
      </c>
      <c r="L44">
        <f t="shared" ca="1" si="18"/>
        <v>800</v>
      </c>
      <c r="M44">
        <f ca="1">D42</f>
        <v>557</v>
      </c>
      <c r="N44">
        <f ca="1">E41</f>
        <v>409</v>
      </c>
      <c r="O44">
        <f ca="1">F40</f>
        <v>236</v>
      </c>
      <c r="P44">
        <f ca="1">G33</f>
        <v>164</v>
      </c>
      <c r="Q44">
        <f t="shared" ca="1" si="13"/>
        <v>140</v>
      </c>
      <c r="S44" s="19">
        <v>43081</v>
      </c>
      <c r="T44" s="22" t="str">
        <f t="shared" ca="1" si="14"/>
        <v>01:07:21</v>
      </c>
      <c r="U44" s="22" t="str">
        <f t="shared" ca="1" si="14"/>
        <v>01:55:45</v>
      </c>
      <c r="V44" s="22" t="str">
        <f t="shared" ca="1" si="14"/>
        <v>00:56:36</v>
      </c>
      <c r="W44" s="19">
        <v>43081</v>
      </c>
      <c r="X44">
        <f t="shared" ca="1" si="15"/>
        <v>4041</v>
      </c>
      <c r="Y44">
        <f t="shared" ca="1" si="16"/>
        <v>6945</v>
      </c>
      <c r="Z44">
        <f t="shared" ca="1" si="17"/>
        <v>3396</v>
      </c>
    </row>
    <row r="45" spans="1:26" x14ac:dyDescent="0.15">
      <c r="A45" s="19">
        <v>43082</v>
      </c>
      <c r="B45">
        <f t="shared" ca="1" si="10"/>
        <v>915</v>
      </c>
      <c r="C45">
        <f t="shared" ca="1" si="11"/>
        <v>658</v>
      </c>
      <c r="J45" s="19">
        <v>43082</v>
      </c>
      <c r="K45">
        <f t="shared" ca="1" si="12"/>
        <v>915</v>
      </c>
      <c r="L45">
        <f t="shared" ca="1" si="18"/>
        <v>643</v>
      </c>
      <c r="M45">
        <f ca="1">D43</f>
        <v>566</v>
      </c>
      <c r="N45">
        <f ca="1">E42</f>
        <v>418</v>
      </c>
      <c r="O45">
        <f ca="1">F41</f>
        <v>266</v>
      </c>
      <c r="P45">
        <f ca="1">G40</f>
        <v>198</v>
      </c>
      <c r="Q45">
        <f t="shared" ca="1" si="13"/>
        <v>134</v>
      </c>
      <c r="S45" s="19">
        <v>43082</v>
      </c>
      <c r="T45" s="22" t="str">
        <f t="shared" ca="1" si="14"/>
        <v>01:53:59</v>
      </c>
      <c r="U45" s="22" t="str">
        <f t="shared" ca="1" si="14"/>
        <v>03:05:48</v>
      </c>
      <c r="V45" s="22" t="str">
        <f t="shared" ca="1" si="14"/>
        <v>00:46:17</v>
      </c>
      <c r="W45" s="19">
        <v>43082</v>
      </c>
      <c r="X45">
        <f t="shared" ca="1" si="15"/>
        <v>6839</v>
      </c>
      <c r="Y45">
        <f t="shared" ca="1" si="16"/>
        <v>11148</v>
      </c>
      <c r="Z45">
        <f t="shared" ca="1" si="17"/>
        <v>2777</v>
      </c>
    </row>
    <row r="46" spans="1:26" x14ac:dyDescent="0.15">
      <c r="A46" s="19">
        <v>43083</v>
      </c>
      <c r="B46">
        <f t="shared" ca="1" si="10"/>
        <v>1184</v>
      </c>
      <c r="J46" s="19">
        <v>43083</v>
      </c>
      <c r="K46">
        <f t="shared" ca="1" si="12"/>
        <v>1184</v>
      </c>
      <c r="L46">
        <f t="shared" ca="1" si="18"/>
        <v>658</v>
      </c>
      <c r="M46">
        <f ca="1">D44</f>
        <v>525</v>
      </c>
      <c r="N46">
        <f ca="1">E43</f>
        <v>383</v>
      </c>
      <c r="O46">
        <f ca="1">F42</f>
        <v>294</v>
      </c>
      <c r="P46">
        <f ca="1">G41</f>
        <v>180</v>
      </c>
      <c r="Q46">
        <f ca="1">H40</f>
        <v>146</v>
      </c>
      <c r="S46" s="19">
        <v>43083</v>
      </c>
      <c r="T46" s="22" t="str">
        <f t="shared" ca="1" si="14"/>
        <v>01:24:02</v>
      </c>
      <c r="U46" s="22" t="str">
        <f t="shared" ca="1" si="14"/>
        <v>03:00:14</v>
      </c>
      <c r="V46" s="22" t="str">
        <f t="shared" ca="1" si="14"/>
        <v>01:05:42</v>
      </c>
      <c r="W46" s="19">
        <v>43083</v>
      </c>
      <c r="X46">
        <f t="shared" ca="1" si="15"/>
        <v>5042</v>
      </c>
      <c r="Y46">
        <f t="shared" ca="1" si="16"/>
        <v>10814</v>
      </c>
      <c r="Z46">
        <f t="shared" ca="1" si="17"/>
        <v>3942</v>
      </c>
    </row>
    <row r="48" spans="1:26" x14ac:dyDescent="0.15">
      <c r="A48" t="s">
        <v>112</v>
      </c>
      <c r="B48" t="s">
        <v>119</v>
      </c>
      <c r="C48" t="s">
        <v>121</v>
      </c>
      <c r="D48" t="s">
        <v>13</v>
      </c>
      <c r="E48" t="s">
        <v>15</v>
      </c>
      <c r="F48" t="s">
        <v>16</v>
      </c>
      <c r="G48" t="s">
        <v>17</v>
      </c>
      <c r="H48" t="s">
        <v>18</v>
      </c>
    </row>
    <row r="49" spans="1:8" x14ac:dyDescent="0.15">
      <c r="A49" s="19">
        <v>43073</v>
      </c>
      <c r="B49">
        <v>1150</v>
      </c>
      <c r="C49">
        <v>778</v>
      </c>
      <c r="D49">
        <v>451</v>
      </c>
      <c r="E49">
        <v>431</v>
      </c>
      <c r="F49">
        <v>287</v>
      </c>
      <c r="G49">
        <v>177</v>
      </c>
      <c r="H49">
        <v>144</v>
      </c>
    </row>
    <row r="50" spans="1:8" x14ac:dyDescent="0.15">
      <c r="A50" s="19">
        <v>43074</v>
      </c>
      <c r="B50">
        <v>1087</v>
      </c>
      <c r="C50">
        <v>716</v>
      </c>
      <c r="D50">
        <v>473</v>
      </c>
      <c r="E50">
        <v>338</v>
      </c>
      <c r="F50">
        <v>225</v>
      </c>
      <c r="G50">
        <v>177</v>
      </c>
      <c r="H50">
        <v>136</v>
      </c>
    </row>
    <row r="51" spans="1:8" x14ac:dyDescent="0.15">
      <c r="A51" s="19">
        <v>43075</v>
      </c>
      <c r="B51">
        <v>889</v>
      </c>
      <c r="C51">
        <v>604</v>
      </c>
      <c r="D51">
        <v>536</v>
      </c>
      <c r="E51">
        <v>392</v>
      </c>
      <c r="F51">
        <v>227</v>
      </c>
      <c r="G51">
        <v>160</v>
      </c>
      <c r="H51">
        <v>148</v>
      </c>
    </row>
    <row r="52" spans="1:8" x14ac:dyDescent="0.15">
      <c r="A52" s="19">
        <v>43076</v>
      </c>
      <c r="B52">
        <v>1197</v>
      </c>
      <c r="C52">
        <v>606</v>
      </c>
      <c r="D52">
        <v>484</v>
      </c>
      <c r="E52">
        <v>404</v>
      </c>
      <c r="F52">
        <v>210</v>
      </c>
      <c r="G52">
        <v>191</v>
      </c>
      <c r="H52">
        <v>149</v>
      </c>
    </row>
    <row r="53" spans="1:8" x14ac:dyDescent="0.15">
      <c r="A53" s="19">
        <v>43077</v>
      </c>
      <c r="B53">
        <v>815</v>
      </c>
      <c r="C53">
        <v>705</v>
      </c>
      <c r="D53">
        <v>473</v>
      </c>
      <c r="E53">
        <v>378</v>
      </c>
      <c r="F53">
        <v>211</v>
      </c>
      <c r="G53">
        <v>163</v>
      </c>
      <c r="H53">
        <v>129</v>
      </c>
    </row>
    <row r="54" spans="1:8" x14ac:dyDescent="0.15">
      <c r="A54" s="19">
        <v>43078</v>
      </c>
      <c r="B54">
        <v>1092</v>
      </c>
      <c r="C54">
        <v>676</v>
      </c>
      <c r="D54">
        <v>546</v>
      </c>
      <c r="E54">
        <v>332</v>
      </c>
      <c r="F54">
        <v>221</v>
      </c>
      <c r="G54">
        <v>155</v>
      </c>
    </row>
    <row r="55" spans="1:8" x14ac:dyDescent="0.15">
      <c r="A55" s="19">
        <v>43079</v>
      </c>
      <c r="B55">
        <v>1091</v>
      </c>
      <c r="C55">
        <v>676</v>
      </c>
      <c r="D55">
        <v>592</v>
      </c>
      <c r="E55">
        <v>382</v>
      </c>
      <c r="F55">
        <v>245</v>
      </c>
    </row>
    <row r="56" spans="1:8" x14ac:dyDescent="0.15">
      <c r="A56" s="19">
        <v>43080</v>
      </c>
      <c r="B56">
        <v>1121</v>
      </c>
      <c r="C56">
        <v>620</v>
      </c>
      <c r="D56">
        <v>555</v>
      </c>
      <c r="E56">
        <v>399</v>
      </c>
    </row>
    <row r="57" spans="1:8" x14ac:dyDescent="0.15">
      <c r="A57" s="19">
        <v>43081</v>
      </c>
      <c r="B57">
        <v>840</v>
      </c>
      <c r="C57">
        <v>793</v>
      </c>
      <c r="D57">
        <v>459</v>
      </c>
    </row>
    <row r="58" spans="1:8" x14ac:dyDescent="0.15">
      <c r="A58" s="19">
        <v>43082</v>
      </c>
      <c r="B58">
        <v>1009</v>
      </c>
      <c r="C58">
        <v>747</v>
      </c>
    </row>
    <row r="59" spans="1:8" x14ac:dyDescent="0.15">
      <c r="A59" s="19">
        <v>43083</v>
      </c>
      <c r="B59">
        <v>838</v>
      </c>
    </row>
    <row r="61" spans="1:8" x14ac:dyDescent="0.15">
      <c r="A61" t="s">
        <v>112</v>
      </c>
      <c r="B61" t="s">
        <v>119</v>
      </c>
      <c r="C61" t="s">
        <v>121</v>
      </c>
      <c r="D61" t="s">
        <v>13</v>
      </c>
      <c r="E61" t="s">
        <v>15</v>
      </c>
      <c r="F61" t="s">
        <v>16</v>
      </c>
      <c r="G61" t="s">
        <v>17</v>
      </c>
      <c r="H61" t="s">
        <v>18</v>
      </c>
    </row>
    <row r="62" spans="1:8" x14ac:dyDescent="0.15">
      <c r="A62" s="19">
        <v>43073</v>
      </c>
      <c r="B62">
        <v>1150</v>
      </c>
      <c r="C62" s="21">
        <f>C49/B49</f>
        <v>0.67652173913043478</v>
      </c>
      <c r="D62" s="21">
        <f>D49/B49</f>
        <v>0.39217391304347826</v>
      </c>
      <c r="E62" s="21">
        <f>E49/B49</f>
        <v>0.37478260869565216</v>
      </c>
      <c r="F62" s="21">
        <f>F49/B49</f>
        <v>0.24956521739130436</v>
      </c>
      <c r="G62" s="21">
        <f>G49/B49</f>
        <v>0.15391304347826087</v>
      </c>
      <c r="H62" s="21">
        <f>H49/B49</f>
        <v>0.12521739130434784</v>
      </c>
    </row>
    <row r="63" spans="1:8" x14ac:dyDescent="0.15">
      <c r="A63" s="19">
        <v>43074</v>
      </c>
      <c r="B63">
        <v>1087</v>
      </c>
      <c r="C63" s="21">
        <f>C50/B50</f>
        <v>0.65869365225390986</v>
      </c>
      <c r="D63" s="21">
        <f>D50/B50</f>
        <v>0.43514259429622815</v>
      </c>
      <c r="E63" s="21">
        <f>E50/B50</f>
        <v>0.31094756209751612</v>
      </c>
      <c r="F63" s="21">
        <f>F50/B50</f>
        <v>0.20699172033118676</v>
      </c>
      <c r="G63" s="21">
        <f>G50/B50</f>
        <v>0.16283348666053357</v>
      </c>
      <c r="H63" s="21">
        <f>H50/B50</f>
        <v>0.125114995400184</v>
      </c>
    </row>
    <row r="64" spans="1:8" x14ac:dyDescent="0.15">
      <c r="A64" s="19">
        <v>43075</v>
      </c>
      <c r="B64">
        <v>889</v>
      </c>
      <c r="C64" s="21">
        <f>C51/B51</f>
        <v>0.67941507311586047</v>
      </c>
      <c r="D64" s="21">
        <f>D51/B51</f>
        <v>0.60292463442069744</v>
      </c>
      <c r="E64" s="21">
        <f>E51/B51</f>
        <v>0.44094488188976377</v>
      </c>
      <c r="F64" s="21">
        <f>F51/B51</f>
        <v>0.25534308211473566</v>
      </c>
      <c r="G64" s="21">
        <f>G51/B51</f>
        <v>0.17997750281214847</v>
      </c>
      <c r="H64" s="21">
        <f>H51/B51</f>
        <v>0.16647919010123735</v>
      </c>
    </row>
    <row r="65" spans="1:8" x14ac:dyDescent="0.15">
      <c r="A65" s="19">
        <v>43076</v>
      </c>
      <c r="B65">
        <v>1197</v>
      </c>
      <c r="C65" s="21">
        <f>C52/B52</f>
        <v>0.50626566416040097</v>
      </c>
      <c r="D65" s="21">
        <f>D52/B52</f>
        <v>0.40434419381787801</v>
      </c>
      <c r="E65" s="21">
        <f>E52/B52</f>
        <v>0.33751044277360065</v>
      </c>
      <c r="F65" s="21">
        <f>F52/B52</f>
        <v>0.17543859649122806</v>
      </c>
      <c r="G65" s="21">
        <f>G52/B52</f>
        <v>0.15956558061821219</v>
      </c>
      <c r="H65" s="21">
        <f>H52/B52</f>
        <v>0.12447786131996658</v>
      </c>
    </row>
    <row r="66" spans="1:8" x14ac:dyDescent="0.15">
      <c r="A66" s="19">
        <v>43077</v>
      </c>
      <c r="B66">
        <v>815</v>
      </c>
      <c r="C66" s="21">
        <f t="shared" ref="C66:C71" si="19">C53/B53</f>
        <v>0.86503067484662577</v>
      </c>
      <c r="D66" s="21">
        <f t="shared" ref="D66:D70" si="20">D53/B53</f>
        <v>0.58036809815950918</v>
      </c>
      <c r="E66" s="21">
        <f t="shared" ref="E66:E69" si="21">E53/B53</f>
        <v>0.46380368098159508</v>
      </c>
      <c r="F66" s="21">
        <f t="shared" ref="F66:F68" si="22">F53/B53</f>
        <v>0.2588957055214724</v>
      </c>
      <c r="G66" s="21">
        <f t="shared" ref="G66:G67" si="23">G53/B53</f>
        <v>0.2</v>
      </c>
      <c r="H66" s="21">
        <f t="shared" ref="H66" si="24">H53/B53</f>
        <v>0.15828220858895706</v>
      </c>
    </row>
    <row r="67" spans="1:8" x14ac:dyDescent="0.15">
      <c r="A67" s="19">
        <v>43078</v>
      </c>
      <c r="B67">
        <v>1092</v>
      </c>
      <c r="C67" s="21">
        <f t="shared" si="19"/>
        <v>0.61904761904761907</v>
      </c>
      <c r="D67" s="21">
        <f t="shared" si="20"/>
        <v>0.5</v>
      </c>
      <c r="E67" s="21">
        <f t="shared" si="21"/>
        <v>0.304029304029304</v>
      </c>
      <c r="F67" s="21">
        <f t="shared" si="22"/>
        <v>0.20238095238095238</v>
      </c>
      <c r="G67" s="21">
        <f t="shared" si="23"/>
        <v>0.14194139194139194</v>
      </c>
      <c r="H67" s="21"/>
    </row>
    <row r="68" spans="1:8" x14ac:dyDescent="0.15">
      <c r="A68" s="19">
        <v>43079</v>
      </c>
      <c r="B68">
        <v>1091</v>
      </c>
      <c r="C68" s="21">
        <f t="shared" si="19"/>
        <v>0.61961503208065993</v>
      </c>
      <c r="D68" s="21">
        <f t="shared" si="20"/>
        <v>0.5426214482126489</v>
      </c>
      <c r="E68" s="21">
        <f t="shared" si="21"/>
        <v>0.35013748854262144</v>
      </c>
      <c r="F68" s="21">
        <f t="shared" si="22"/>
        <v>0.22456461961503207</v>
      </c>
      <c r="G68" s="21"/>
      <c r="H68" s="21"/>
    </row>
    <row r="69" spans="1:8" x14ac:dyDescent="0.15">
      <c r="A69" s="19">
        <v>43080</v>
      </c>
      <c r="B69">
        <v>1121</v>
      </c>
      <c r="C69" s="21">
        <f t="shared" si="19"/>
        <v>0.55307760927743088</v>
      </c>
      <c r="D69" s="21">
        <f t="shared" si="20"/>
        <v>0.49509366636931312</v>
      </c>
      <c r="E69" s="21">
        <f t="shared" si="21"/>
        <v>0.3559322033898305</v>
      </c>
      <c r="F69" s="21"/>
      <c r="G69" s="21"/>
      <c r="H69" s="21"/>
    </row>
    <row r="70" spans="1:8" x14ac:dyDescent="0.15">
      <c r="A70" s="19">
        <v>43081</v>
      </c>
      <c r="B70">
        <v>840</v>
      </c>
      <c r="C70" s="21">
        <f t="shared" si="19"/>
        <v>0.94404761904761902</v>
      </c>
      <c r="D70" s="21">
        <f t="shared" si="20"/>
        <v>0.54642857142857137</v>
      </c>
      <c r="E70" s="21"/>
      <c r="F70" s="21"/>
      <c r="G70" s="21"/>
      <c r="H70" s="21"/>
    </row>
    <row r="71" spans="1:8" x14ac:dyDescent="0.15">
      <c r="A71" s="19">
        <v>43082</v>
      </c>
      <c r="B71">
        <v>1009</v>
      </c>
      <c r="C71" s="21">
        <f t="shared" si="19"/>
        <v>0.74033696729435083</v>
      </c>
      <c r="D71" s="21"/>
      <c r="E71" s="21"/>
      <c r="F71" s="21"/>
      <c r="G71" s="21"/>
      <c r="H71" s="21"/>
    </row>
    <row r="72" spans="1:8" x14ac:dyDescent="0.15">
      <c r="A72" s="19">
        <v>43083</v>
      </c>
      <c r="B72">
        <v>838</v>
      </c>
      <c r="C72" s="21"/>
      <c r="D72" s="21"/>
      <c r="E72" s="21"/>
      <c r="F72" s="21"/>
      <c r="G72" s="21"/>
      <c r="H72" s="21"/>
    </row>
    <row r="73" spans="1:8" x14ac:dyDescent="0.15">
      <c r="A73" t="s">
        <v>141</v>
      </c>
      <c r="B73" t="s">
        <v>142</v>
      </c>
      <c r="C73" t="s">
        <v>143</v>
      </c>
    </row>
    <row r="74" spans="1:8" x14ac:dyDescent="0.15">
      <c r="A74" s="19">
        <v>43077</v>
      </c>
      <c r="B74" s="20">
        <f t="shared" ref="B74:B80" ca="1" si="25">RAND()*1+0.5</f>
        <v>1.1447509731554941</v>
      </c>
      <c r="C74" s="20">
        <f t="shared" ref="C74:C80" ca="1" si="26">RAND()*2+4</f>
        <v>4.8483173436194029</v>
      </c>
    </row>
    <row r="75" spans="1:8" x14ac:dyDescent="0.15">
      <c r="A75" s="19">
        <v>43078</v>
      </c>
      <c r="B75" s="20">
        <f t="shared" ca="1" si="25"/>
        <v>1.4800425161635065</v>
      </c>
      <c r="C75" s="20">
        <f t="shared" ca="1" si="26"/>
        <v>5.7815296827066884</v>
      </c>
    </row>
    <row r="76" spans="1:8" x14ac:dyDescent="0.15">
      <c r="A76" s="19">
        <v>43079</v>
      </c>
      <c r="B76" s="20">
        <f t="shared" ca="1" si="25"/>
        <v>1.3485350304114003</v>
      </c>
      <c r="C76" s="20">
        <f t="shared" ca="1" si="26"/>
        <v>4.5959329217544873</v>
      </c>
    </row>
    <row r="77" spans="1:8" x14ac:dyDescent="0.15">
      <c r="A77" s="19">
        <v>43080</v>
      </c>
      <c r="B77" s="20">
        <f t="shared" ca="1" si="25"/>
        <v>0.76118798788785147</v>
      </c>
      <c r="C77" s="20">
        <f t="shared" ca="1" si="26"/>
        <v>4.316245991307273</v>
      </c>
    </row>
    <row r="78" spans="1:8" x14ac:dyDescent="0.15">
      <c r="A78" s="19">
        <v>43081</v>
      </c>
      <c r="B78" s="20">
        <f t="shared" ca="1" si="25"/>
        <v>0.72849302333641197</v>
      </c>
      <c r="C78" s="20">
        <f t="shared" ca="1" si="26"/>
        <v>5.3940189615704393</v>
      </c>
    </row>
    <row r="79" spans="1:8" x14ac:dyDescent="0.15">
      <c r="A79" s="19">
        <v>43082</v>
      </c>
      <c r="B79" s="20">
        <f t="shared" ca="1" si="25"/>
        <v>1.2899111543740309</v>
      </c>
      <c r="C79" s="20">
        <f t="shared" ca="1" si="26"/>
        <v>5.3255319919487363</v>
      </c>
    </row>
    <row r="80" spans="1:8" x14ac:dyDescent="0.15">
      <c r="A80" s="19">
        <v>43083</v>
      </c>
      <c r="B80" s="20">
        <f t="shared" ca="1" si="25"/>
        <v>0.61574426005497829</v>
      </c>
      <c r="C80" s="20">
        <f t="shared" ca="1" si="26"/>
        <v>5.0987385091103476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25" workbookViewId="0">
      <selection sqref="A1:G45"/>
    </sheetView>
  </sheetViews>
  <sheetFormatPr defaultRowHeight="17.25" customHeight="1" x14ac:dyDescent="0.15"/>
  <cols>
    <col min="1" max="1" width="11.625" bestFit="1" customWidth="1"/>
    <col min="2" max="2" width="11.875" bestFit="1" customWidth="1"/>
    <col min="3" max="3" width="23" style="25" bestFit="1" customWidth="1"/>
    <col min="4" max="4" width="11.875" bestFit="1" customWidth="1"/>
    <col min="5" max="5" width="23" style="25" bestFit="1" customWidth="1"/>
    <col min="6" max="6" width="11.875" bestFit="1" customWidth="1"/>
    <col min="7" max="7" width="23" style="25" bestFit="1" customWidth="1"/>
  </cols>
  <sheetData>
    <row r="1" spans="1:10" s="23" customFormat="1" ht="17.25" customHeight="1" x14ac:dyDescent="0.15">
      <c r="A1" s="23" t="s">
        <v>150</v>
      </c>
      <c r="B1" s="23" t="s">
        <v>144</v>
      </c>
      <c r="C1" s="23" t="s">
        <v>145</v>
      </c>
      <c r="D1" s="23" t="s">
        <v>146</v>
      </c>
      <c r="E1" s="23" t="s">
        <v>147</v>
      </c>
      <c r="F1" s="23" t="s">
        <v>148</v>
      </c>
      <c r="G1" s="23" t="s">
        <v>149</v>
      </c>
    </row>
    <row r="2" spans="1:10" ht="17.25" customHeight="1" x14ac:dyDescent="0.15">
      <c r="A2" s="1">
        <v>43083</v>
      </c>
      <c r="B2">
        <f ca="1">RANDBETWEEN(100,200)</f>
        <v>192</v>
      </c>
      <c r="C2" s="24" t="str">
        <f ca="1">TEXT(H2/86400,"hh:mm:ss")</f>
        <v>01:40:24</v>
      </c>
      <c r="D2">
        <f ca="1">RANDBETWEEN(80,120)</f>
        <v>119</v>
      </c>
      <c r="E2" s="24" t="str">
        <f ca="1">TEXT(I2/86400,"hh:mm:ss")</f>
        <v>02:53:27</v>
      </c>
      <c r="F2">
        <f ca="1">RANDBETWEEN(1200,1500)</f>
        <v>1449</v>
      </c>
      <c r="G2" s="24" t="str">
        <f ca="1">TEXT(J2/86400,"hh:mm:ss")</f>
        <v>01:19:11</v>
      </c>
      <c r="H2">
        <f t="shared" ref="H2:H45" ca="1" si="0">RANDBETWEEN(3600,7200)</f>
        <v>6024</v>
      </c>
      <c r="I2">
        <f ca="1">RANDBETWEEN(5000,12000)</f>
        <v>10407</v>
      </c>
      <c r="J2">
        <f t="shared" ref="J2:J45" ca="1" si="1">RANDBETWEEN(2000,5000)</f>
        <v>4751</v>
      </c>
    </row>
    <row r="3" spans="1:10" ht="17.25" customHeight="1" x14ac:dyDescent="0.15">
      <c r="A3" s="1">
        <v>43082</v>
      </c>
      <c r="B3">
        <f t="shared" ref="B3:B45" ca="1" si="2">RANDBETWEEN(100,200)</f>
        <v>106</v>
      </c>
      <c r="C3" s="24" t="str">
        <f t="shared" ref="C3:C45" ca="1" si="3">TEXT(H3/86400,"hh:mm:ss")</f>
        <v>01:05:28</v>
      </c>
      <c r="D3">
        <f t="shared" ref="D3:D45" ca="1" si="4">RANDBETWEEN(80,120)</f>
        <v>96</v>
      </c>
      <c r="E3" s="24" t="str">
        <f t="shared" ref="E3:E45" ca="1" si="5">TEXT(I3/86400,"hh:mm:ss")</f>
        <v>02:37:18</v>
      </c>
      <c r="F3">
        <f t="shared" ref="F3:F45" ca="1" si="6">RANDBETWEEN(1200,1500)</f>
        <v>1497</v>
      </c>
      <c r="G3" s="24" t="str">
        <f t="shared" ref="G3:G45" ca="1" si="7">TEXT(J3/86400,"hh:mm:ss")</f>
        <v>00:59:58</v>
      </c>
      <c r="H3">
        <f t="shared" ca="1" si="0"/>
        <v>3928</v>
      </c>
      <c r="I3">
        <f t="shared" ref="I3:I45" ca="1" si="8">RANDBETWEEN(5000,12000)</f>
        <v>9438</v>
      </c>
      <c r="J3">
        <f t="shared" ca="1" si="1"/>
        <v>3598</v>
      </c>
    </row>
    <row r="4" spans="1:10" ht="17.25" customHeight="1" x14ac:dyDescent="0.15">
      <c r="A4" s="1">
        <v>43081</v>
      </c>
      <c r="B4">
        <f t="shared" ca="1" si="2"/>
        <v>131</v>
      </c>
      <c r="C4" s="24" t="str">
        <f t="shared" ca="1" si="3"/>
        <v>01:15:44</v>
      </c>
      <c r="D4">
        <f t="shared" ca="1" si="4"/>
        <v>110</v>
      </c>
      <c r="E4" s="24" t="str">
        <f t="shared" ca="1" si="5"/>
        <v>03:14:35</v>
      </c>
      <c r="F4">
        <f t="shared" ca="1" si="6"/>
        <v>1411</v>
      </c>
      <c r="G4" s="24" t="str">
        <f t="shared" ca="1" si="7"/>
        <v>01:22:04</v>
      </c>
      <c r="H4">
        <f t="shared" ca="1" si="0"/>
        <v>4544</v>
      </c>
      <c r="I4">
        <f t="shared" ca="1" si="8"/>
        <v>11675</v>
      </c>
      <c r="J4">
        <f t="shared" ca="1" si="1"/>
        <v>4924</v>
      </c>
    </row>
    <row r="5" spans="1:10" ht="17.25" customHeight="1" x14ac:dyDescent="0.15">
      <c r="A5" s="1">
        <v>43080</v>
      </c>
      <c r="B5">
        <f t="shared" ca="1" si="2"/>
        <v>132</v>
      </c>
      <c r="C5" s="24" t="str">
        <f t="shared" ca="1" si="3"/>
        <v>01:41:36</v>
      </c>
      <c r="D5">
        <f t="shared" ca="1" si="4"/>
        <v>102</v>
      </c>
      <c r="E5" s="24" t="str">
        <f t="shared" ca="1" si="5"/>
        <v>02:09:53</v>
      </c>
      <c r="F5">
        <f t="shared" ca="1" si="6"/>
        <v>1497</v>
      </c>
      <c r="G5" s="24" t="str">
        <f t="shared" ca="1" si="7"/>
        <v>01:16:07</v>
      </c>
      <c r="H5">
        <f t="shared" ca="1" si="0"/>
        <v>6096</v>
      </c>
      <c r="I5">
        <f t="shared" ca="1" si="8"/>
        <v>7793</v>
      </c>
      <c r="J5">
        <f t="shared" ca="1" si="1"/>
        <v>4567</v>
      </c>
    </row>
    <row r="6" spans="1:10" ht="17.25" customHeight="1" x14ac:dyDescent="0.15">
      <c r="A6" s="1">
        <v>43079</v>
      </c>
      <c r="B6">
        <f t="shared" ca="1" si="2"/>
        <v>191</v>
      </c>
      <c r="C6" s="24" t="str">
        <f t="shared" ca="1" si="3"/>
        <v>01:17:05</v>
      </c>
      <c r="D6">
        <f t="shared" ca="1" si="4"/>
        <v>105</v>
      </c>
      <c r="E6" s="24" t="str">
        <f t="shared" ca="1" si="5"/>
        <v>01:59:14</v>
      </c>
      <c r="F6">
        <f t="shared" ca="1" si="6"/>
        <v>1375</v>
      </c>
      <c r="G6" s="24" t="str">
        <f t="shared" ca="1" si="7"/>
        <v>01:21:49</v>
      </c>
      <c r="H6">
        <f t="shared" ca="1" si="0"/>
        <v>4625</v>
      </c>
      <c r="I6">
        <f t="shared" ca="1" si="8"/>
        <v>7154</v>
      </c>
      <c r="J6">
        <f t="shared" ca="1" si="1"/>
        <v>4909</v>
      </c>
    </row>
    <row r="7" spans="1:10" ht="17.25" customHeight="1" x14ac:dyDescent="0.15">
      <c r="A7" s="1">
        <v>43078</v>
      </c>
      <c r="B7">
        <f t="shared" ca="1" si="2"/>
        <v>191</v>
      </c>
      <c r="C7" s="24" t="str">
        <f t="shared" ca="1" si="3"/>
        <v>01:30:24</v>
      </c>
      <c r="D7">
        <f t="shared" ca="1" si="4"/>
        <v>115</v>
      </c>
      <c r="E7" s="24" t="str">
        <f t="shared" ca="1" si="5"/>
        <v>01:50:10</v>
      </c>
      <c r="F7">
        <f t="shared" ca="1" si="6"/>
        <v>1209</v>
      </c>
      <c r="G7" s="24" t="str">
        <f t="shared" ca="1" si="7"/>
        <v>01:03:10</v>
      </c>
      <c r="H7">
        <f t="shared" ca="1" si="0"/>
        <v>5424</v>
      </c>
      <c r="I7">
        <f t="shared" ca="1" si="8"/>
        <v>6610</v>
      </c>
      <c r="J7">
        <f t="shared" ca="1" si="1"/>
        <v>3790</v>
      </c>
    </row>
    <row r="8" spans="1:10" ht="17.25" customHeight="1" x14ac:dyDescent="0.15">
      <c r="A8" s="1">
        <v>43077</v>
      </c>
      <c r="B8">
        <f t="shared" ca="1" si="2"/>
        <v>136</v>
      </c>
      <c r="C8" s="24" t="str">
        <f t="shared" ca="1" si="3"/>
        <v>01:28:17</v>
      </c>
      <c r="D8">
        <f t="shared" ca="1" si="4"/>
        <v>88</v>
      </c>
      <c r="E8" s="24" t="str">
        <f t="shared" ca="1" si="5"/>
        <v>02:36:49</v>
      </c>
      <c r="F8">
        <f t="shared" ca="1" si="6"/>
        <v>1446</v>
      </c>
      <c r="G8" s="24" t="str">
        <f t="shared" ca="1" si="7"/>
        <v>00:51:44</v>
      </c>
      <c r="H8">
        <f t="shared" ca="1" si="0"/>
        <v>5297</v>
      </c>
      <c r="I8">
        <f t="shared" ca="1" si="8"/>
        <v>9409</v>
      </c>
      <c r="J8">
        <f t="shared" ca="1" si="1"/>
        <v>3104</v>
      </c>
    </row>
    <row r="9" spans="1:10" ht="17.25" customHeight="1" x14ac:dyDescent="0.15">
      <c r="A9" s="1">
        <v>43076</v>
      </c>
      <c r="B9">
        <f t="shared" ca="1" si="2"/>
        <v>195</v>
      </c>
      <c r="C9" s="24" t="str">
        <f t="shared" ca="1" si="3"/>
        <v>01:35:29</v>
      </c>
      <c r="D9">
        <f t="shared" ca="1" si="4"/>
        <v>93</v>
      </c>
      <c r="E9" s="24" t="str">
        <f t="shared" ca="1" si="5"/>
        <v>01:42:09</v>
      </c>
      <c r="F9">
        <f t="shared" ca="1" si="6"/>
        <v>1269</v>
      </c>
      <c r="G9" s="24" t="str">
        <f t="shared" ca="1" si="7"/>
        <v>00:36:08</v>
      </c>
      <c r="H9">
        <f t="shared" ca="1" si="0"/>
        <v>5729</v>
      </c>
      <c r="I9">
        <f t="shared" ca="1" si="8"/>
        <v>6129</v>
      </c>
      <c r="J9">
        <f t="shared" ca="1" si="1"/>
        <v>2168</v>
      </c>
    </row>
    <row r="10" spans="1:10" ht="17.25" customHeight="1" x14ac:dyDescent="0.15">
      <c r="A10" s="1">
        <v>43075</v>
      </c>
      <c r="B10">
        <f t="shared" ca="1" si="2"/>
        <v>171</v>
      </c>
      <c r="C10" s="24" t="str">
        <f t="shared" ca="1" si="3"/>
        <v>01:23:37</v>
      </c>
      <c r="D10">
        <f t="shared" ca="1" si="4"/>
        <v>90</v>
      </c>
      <c r="E10" s="24" t="str">
        <f t="shared" ca="1" si="5"/>
        <v>02:20:58</v>
      </c>
      <c r="F10">
        <f t="shared" ca="1" si="6"/>
        <v>1212</v>
      </c>
      <c r="G10" s="24" t="str">
        <f t="shared" ca="1" si="7"/>
        <v>01:16:39</v>
      </c>
      <c r="H10">
        <f t="shared" ca="1" si="0"/>
        <v>5017</v>
      </c>
      <c r="I10">
        <f t="shared" ca="1" si="8"/>
        <v>8458</v>
      </c>
      <c r="J10">
        <f t="shared" ca="1" si="1"/>
        <v>4599</v>
      </c>
    </row>
    <row r="11" spans="1:10" ht="17.25" customHeight="1" x14ac:dyDescent="0.15">
      <c r="A11" s="1">
        <v>43074</v>
      </c>
      <c r="B11">
        <f t="shared" ca="1" si="2"/>
        <v>183</v>
      </c>
      <c r="C11" s="24" t="str">
        <f t="shared" ca="1" si="3"/>
        <v>01:53:04</v>
      </c>
      <c r="D11">
        <f t="shared" ca="1" si="4"/>
        <v>103</v>
      </c>
      <c r="E11" s="24" t="str">
        <f t="shared" ca="1" si="5"/>
        <v>02:36:42</v>
      </c>
      <c r="F11">
        <f t="shared" ca="1" si="6"/>
        <v>1289</v>
      </c>
      <c r="G11" s="24" t="str">
        <f t="shared" ca="1" si="7"/>
        <v>01:14:57</v>
      </c>
      <c r="H11">
        <f t="shared" ca="1" si="0"/>
        <v>6784</v>
      </c>
      <c r="I11">
        <f t="shared" ca="1" si="8"/>
        <v>9402</v>
      </c>
      <c r="J11">
        <f t="shared" ca="1" si="1"/>
        <v>4497</v>
      </c>
    </row>
    <row r="12" spans="1:10" ht="17.25" customHeight="1" x14ac:dyDescent="0.15">
      <c r="A12" s="1">
        <v>43073</v>
      </c>
      <c r="B12">
        <f t="shared" ca="1" si="2"/>
        <v>181</v>
      </c>
      <c r="C12" s="24" t="str">
        <f t="shared" ca="1" si="3"/>
        <v>01:25:49</v>
      </c>
      <c r="D12">
        <f t="shared" ca="1" si="4"/>
        <v>117</v>
      </c>
      <c r="E12" s="24" t="str">
        <f t="shared" ca="1" si="5"/>
        <v>02:23:39</v>
      </c>
      <c r="F12">
        <f t="shared" ca="1" si="6"/>
        <v>1278</v>
      </c>
      <c r="G12" s="24" t="str">
        <f t="shared" ca="1" si="7"/>
        <v>00:49:29</v>
      </c>
      <c r="H12">
        <f t="shared" ca="1" si="0"/>
        <v>5149</v>
      </c>
      <c r="I12">
        <f t="shared" ca="1" si="8"/>
        <v>8619</v>
      </c>
      <c r="J12">
        <f t="shared" ca="1" si="1"/>
        <v>2969</v>
      </c>
    </row>
    <row r="13" spans="1:10" ht="17.25" customHeight="1" x14ac:dyDescent="0.15">
      <c r="A13" s="1">
        <v>43072</v>
      </c>
      <c r="B13">
        <f t="shared" ca="1" si="2"/>
        <v>154</v>
      </c>
      <c r="C13" s="24" t="str">
        <f t="shared" ca="1" si="3"/>
        <v>01:02:05</v>
      </c>
      <c r="D13">
        <f t="shared" ca="1" si="4"/>
        <v>109</v>
      </c>
      <c r="E13" s="24" t="str">
        <f t="shared" ca="1" si="5"/>
        <v>03:09:20</v>
      </c>
      <c r="F13">
        <f t="shared" ca="1" si="6"/>
        <v>1450</v>
      </c>
      <c r="G13" s="24" t="str">
        <f t="shared" ca="1" si="7"/>
        <v>01:00:07</v>
      </c>
      <c r="H13">
        <f t="shared" ca="1" si="0"/>
        <v>3725</v>
      </c>
      <c r="I13">
        <f t="shared" ca="1" si="8"/>
        <v>11360</v>
      </c>
      <c r="J13">
        <f t="shared" ca="1" si="1"/>
        <v>3607</v>
      </c>
    </row>
    <row r="14" spans="1:10" ht="17.25" customHeight="1" x14ac:dyDescent="0.15">
      <c r="A14" s="1">
        <v>43071</v>
      </c>
      <c r="B14">
        <f t="shared" ca="1" si="2"/>
        <v>135</v>
      </c>
      <c r="C14" s="24" t="str">
        <f t="shared" ca="1" si="3"/>
        <v>01:36:15</v>
      </c>
      <c r="D14">
        <f t="shared" ca="1" si="4"/>
        <v>94</v>
      </c>
      <c r="E14" s="24" t="str">
        <f t="shared" ca="1" si="5"/>
        <v>02:41:39</v>
      </c>
      <c r="F14">
        <f t="shared" ca="1" si="6"/>
        <v>1255</v>
      </c>
      <c r="G14" s="24" t="str">
        <f t="shared" ca="1" si="7"/>
        <v>01:04:04</v>
      </c>
      <c r="H14">
        <f t="shared" ca="1" si="0"/>
        <v>5775</v>
      </c>
      <c r="I14">
        <f t="shared" ca="1" si="8"/>
        <v>9699</v>
      </c>
      <c r="J14">
        <f t="shared" ca="1" si="1"/>
        <v>3844</v>
      </c>
    </row>
    <row r="15" spans="1:10" ht="17.25" customHeight="1" x14ac:dyDescent="0.15">
      <c r="A15" s="1">
        <v>43070</v>
      </c>
      <c r="B15">
        <f t="shared" ca="1" si="2"/>
        <v>200</v>
      </c>
      <c r="C15" s="24" t="str">
        <f t="shared" ca="1" si="3"/>
        <v>01:18:31</v>
      </c>
      <c r="D15">
        <f t="shared" ca="1" si="4"/>
        <v>114</v>
      </c>
      <c r="E15" s="24" t="str">
        <f t="shared" ca="1" si="5"/>
        <v>02:08:18</v>
      </c>
      <c r="F15">
        <f t="shared" ca="1" si="6"/>
        <v>1251</v>
      </c>
      <c r="G15" s="24" t="str">
        <f t="shared" ca="1" si="7"/>
        <v>00:43:12</v>
      </c>
      <c r="H15">
        <f t="shared" ca="1" si="0"/>
        <v>4711</v>
      </c>
      <c r="I15">
        <f t="shared" ca="1" si="8"/>
        <v>7698</v>
      </c>
      <c r="J15">
        <f t="shared" ca="1" si="1"/>
        <v>2592</v>
      </c>
    </row>
    <row r="16" spans="1:10" ht="17.25" customHeight="1" x14ac:dyDescent="0.15">
      <c r="A16" s="1">
        <v>43069</v>
      </c>
      <c r="B16">
        <f t="shared" ca="1" si="2"/>
        <v>161</v>
      </c>
      <c r="C16" s="24" t="str">
        <f t="shared" ca="1" si="3"/>
        <v>01:25:10</v>
      </c>
      <c r="D16">
        <f t="shared" ca="1" si="4"/>
        <v>105</v>
      </c>
      <c r="E16" s="24" t="str">
        <f t="shared" ca="1" si="5"/>
        <v>01:37:24</v>
      </c>
      <c r="F16">
        <f t="shared" ca="1" si="6"/>
        <v>1299</v>
      </c>
      <c r="G16" s="24" t="str">
        <f t="shared" ca="1" si="7"/>
        <v>00:36:35</v>
      </c>
      <c r="H16">
        <f t="shared" ca="1" si="0"/>
        <v>5110</v>
      </c>
      <c r="I16">
        <f t="shared" ca="1" si="8"/>
        <v>5844</v>
      </c>
      <c r="J16">
        <f t="shared" ca="1" si="1"/>
        <v>2195</v>
      </c>
    </row>
    <row r="17" spans="1:10" ht="17.25" customHeight="1" x14ac:dyDescent="0.15">
      <c r="A17" s="1">
        <v>43068</v>
      </c>
      <c r="B17">
        <f t="shared" ca="1" si="2"/>
        <v>139</v>
      </c>
      <c r="C17" s="24" t="str">
        <f t="shared" ca="1" si="3"/>
        <v>01:24:40</v>
      </c>
      <c r="D17">
        <f t="shared" ca="1" si="4"/>
        <v>93</v>
      </c>
      <c r="E17" s="24" t="str">
        <f t="shared" ca="1" si="5"/>
        <v>02:10:31</v>
      </c>
      <c r="F17">
        <f t="shared" ca="1" si="6"/>
        <v>1447</v>
      </c>
      <c r="G17" s="24" t="str">
        <f t="shared" ca="1" si="7"/>
        <v>00:37:32</v>
      </c>
      <c r="H17">
        <f t="shared" ca="1" si="0"/>
        <v>5080</v>
      </c>
      <c r="I17">
        <f t="shared" ca="1" si="8"/>
        <v>7831</v>
      </c>
      <c r="J17">
        <f t="shared" ca="1" si="1"/>
        <v>2252</v>
      </c>
    </row>
    <row r="18" spans="1:10" ht="17.25" customHeight="1" x14ac:dyDescent="0.15">
      <c r="A18" s="1">
        <v>43067</v>
      </c>
      <c r="B18">
        <f t="shared" ca="1" si="2"/>
        <v>180</v>
      </c>
      <c r="C18" s="24" t="str">
        <f t="shared" ca="1" si="3"/>
        <v>01:35:38</v>
      </c>
      <c r="D18">
        <f t="shared" ca="1" si="4"/>
        <v>97</v>
      </c>
      <c r="E18" s="24" t="str">
        <f t="shared" ca="1" si="5"/>
        <v>02:37:13</v>
      </c>
      <c r="F18">
        <f t="shared" ca="1" si="6"/>
        <v>1390</v>
      </c>
      <c r="G18" s="24" t="str">
        <f t="shared" ca="1" si="7"/>
        <v>01:02:07</v>
      </c>
      <c r="H18">
        <f t="shared" ca="1" si="0"/>
        <v>5738</v>
      </c>
      <c r="I18">
        <f t="shared" ca="1" si="8"/>
        <v>9433</v>
      </c>
      <c r="J18">
        <f t="shared" ca="1" si="1"/>
        <v>3727</v>
      </c>
    </row>
    <row r="19" spans="1:10" ht="17.25" customHeight="1" x14ac:dyDescent="0.15">
      <c r="A19" s="1">
        <v>43066</v>
      </c>
      <c r="B19">
        <f t="shared" ca="1" si="2"/>
        <v>146</v>
      </c>
      <c r="C19" s="24" t="str">
        <f t="shared" ca="1" si="3"/>
        <v>01:38:47</v>
      </c>
      <c r="D19">
        <f t="shared" ca="1" si="4"/>
        <v>91</v>
      </c>
      <c r="E19" s="24" t="str">
        <f t="shared" ca="1" si="5"/>
        <v>01:41:10</v>
      </c>
      <c r="F19">
        <f t="shared" ca="1" si="6"/>
        <v>1247</v>
      </c>
      <c r="G19" s="24" t="str">
        <f t="shared" ca="1" si="7"/>
        <v>00:45:31</v>
      </c>
      <c r="H19">
        <f t="shared" ca="1" si="0"/>
        <v>5927</v>
      </c>
      <c r="I19">
        <f t="shared" ca="1" si="8"/>
        <v>6070</v>
      </c>
      <c r="J19">
        <f t="shared" ca="1" si="1"/>
        <v>2731</v>
      </c>
    </row>
    <row r="20" spans="1:10" ht="17.25" customHeight="1" x14ac:dyDescent="0.15">
      <c r="A20" s="1">
        <v>43065</v>
      </c>
      <c r="B20">
        <f t="shared" ca="1" si="2"/>
        <v>141</v>
      </c>
      <c r="C20" s="24" t="str">
        <f t="shared" ca="1" si="3"/>
        <v>01:00:41</v>
      </c>
      <c r="D20">
        <f t="shared" ca="1" si="4"/>
        <v>103</v>
      </c>
      <c r="E20" s="24" t="str">
        <f t="shared" ca="1" si="5"/>
        <v>03:06:44</v>
      </c>
      <c r="F20">
        <f t="shared" ca="1" si="6"/>
        <v>1255</v>
      </c>
      <c r="G20" s="24" t="str">
        <f t="shared" ca="1" si="7"/>
        <v>00:43:39</v>
      </c>
      <c r="H20">
        <f t="shared" ca="1" si="0"/>
        <v>3641</v>
      </c>
      <c r="I20">
        <f t="shared" ca="1" si="8"/>
        <v>11204</v>
      </c>
      <c r="J20">
        <f t="shared" ca="1" si="1"/>
        <v>2619</v>
      </c>
    </row>
    <row r="21" spans="1:10" ht="17.25" customHeight="1" x14ac:dyDescent="0.15">
      <c r="A21" s="1">
        <v>43064</v>
      </c>
      <c r="B21">
        <f t="shared" ca="1" si="2"/>
        <v>126</v>
      </c>
      <c r="C21" s="24" t="str">
        <f t="shared" ca="1" si="3"/>
        <v>01:48:35</v>
      </c>
      <c r="D21">
        <f t="shared" ca="1" si="4"/>
        <v>88</v>
      </c>
      <c r="E21" s="24" t="str">
        <f t="shared" ca="1" si="5"/>
        <v>01:53:59</v>
      </c>
      <c r="F21">
        <f t="shared" ca="1" si="6"/>
        <v>1307</v>
      </c>
      <c r="G21" s="24" t="str">
        <f t="shared" ca="1" si="7"/>
        <v>01:18:49</v>
      </c>
      <c r="H21">
        <f t="shared" ca="1" si="0"/>
        <v>6515</v>
      </c>
      <c r="I21">
        <f t="shared" ca="1" si="8"/>
        <v>6839</v>
      </c>
      <c r="J21">
        <f t="shared" ca="1" si="1"/>
        <v>4729</v>
      </c>
    </row>
    <row r="22" spans="1:10" ht="17.25" customHeight="1" x14ac:dyDescent="0.15">
      <c r="A22" s="1">
        <v>43063</v>
      </c>
      <c r="B22">
        <f t="shared" ca="1" si="2"/>
        <v>126</v>
      </c>
      <c r="C22" s="24" t="str">
        <f t="shared" ca="1" si="3"/>
        <v>01:13:16</v>
      </c>
      <c r="D22">
        <f t="shared" ca="1" si="4"/>
        <v>91</v>
      </c>
      <c r="E22" s="24" t="str">
        <f t="shared" ca="1" si="5"/>
        <v>01:47:47</v>
      </c>
      <c r="F22">
        <f t="shared" ca="1" si="6"/>
        <v>1261</v>
      </c>
      <c r="G22" s="24" t="str">
        <f t="shared" ca="1" si="7"/>
        <v>00:42:18</v>
      </c>
      <c r="H22">
        <f t="shared" ca="1" si="0"/>
        <v>4396</v>
      </c>
      <c r="I22">
        <f t="shared" ca="1" si="8"/>
        <v>6467</v>
      </c>
      <c r="J22">
        <f t="shared" ca="1" si="1"/>
        <v>2538</v>
      </c>
    </row>
    <row r="23" spans="1:10" ht="17.25" customHeight="1" x14ac:dyDescent="0.15">
      <c r="A23" s="1">
        <v>43062</v>
      </c>
      <c r="B23">
        <f t="shared" ca="1" si="2"/>
        <v>142</v>
      </c>
      <c r="C23" s="24" t="str">
        <f t="shared" ca="1" si="3"/>
        <v>01:23:17</v>
      </c>
      <c r="D23">
        <f t="shared" ca="1" si="4"/>
        <v>94</v>
      </c>
      <c r="E23" s="24" t="str">
        <f t="shared" ca="1" si="5"/>
        <v>02:51:35</v>
      </c>
      <c r="F23">
        <f t="shared" ca="1" si="6"/>
        <v>1385</v>
      </c>
      <c r="G23" s="24" t="str">
        <f t="shared" ca="1" si="7"/>
        <v>01:14:10</v>
      </c>
      <c r="H23">
        <f t="shared" ca="1" si="0"/>
        <v>4997</v>
      </c>
      <c r="I23">
        <f t="shared" ca="1" si="8"/>
        <v>10295</v>
      </c>
      <c r="J23">
        <f t="shared" ca="1" si="1"/>
        <v>4450</v>
      </c>
    </row>
    <row r="24" spans="1:10" ht="17.25" customHeight="1" x14ac:dyDescent="0.15">
      <c r="A24" s="1">
        <v>43061</v>
      </c>
      <c r="B24">
        <f t="shared" ca="1" si="2"/>
        <v>138</v>
      </c>
      <c r="C24" s="24" t="str">
        <f t="shared" ca="1" si="3"/>
        <v>01:43:43</v>
      </c>
      <c r="D24">
        <f t="shared" ca="1" si="4"/>
        <v>109</v>
      </c>
      <c r="E24" s="24" t="str">
        <f t="shared" ca="1" si="5"/>
        <v>03:08:50</v>
      </c>
      <c r="F24">
        <f t="shared" ca="1" si="6"/>
        <v>1309</v>
      </c>
      <c r="G24" s="24" t="str">
        <f t="shared" ca="1" si="7"/>
        <v>01:04:15</v>
      </c>
      <c r="H24">
        <f t="shared" ca="1" si="0"/>
        <v>6223</v>
      </c>
      <c r="I24">
        <f t="shared" ca="1" si="8"/>
        <v>11330</v>
      </c>
      <c r="J24">
        <f t="shared" ca="1" si="1"/>
        <v>3855</v>
      </c>
    </row>
    <row r="25" spans="1:10" ht="17.25" customHeight="1" x14ac:dyDescent="0.15">
      <c r="A25" s="1">
        <v>43060</v>
      </c>
      <c r="B25">
        <f t="shared" ca="1" si="2"/>
        <v>104</v>
      </c>
      <c r="C25" s="24" t="str">
        <f t="shared" ca="1" si="3"/>
        <v>01:39:13</v>
      </c>
      <c r="D25">
        <f t="shared" ca="1" si="4"/>
        <v>95</v>
      </c>
      <c r="E25" s="24" t="str">
        <f t="shared" ca="1" si="5"/>
        <v>02:35:07</v>
      </c>
      <c r="F25">
        <f t="shared" ca="1" si="6"/>
        <v>1259</v>
      </c>
      <c r="G25" s="24" t="str">
        <f t="shared" ca="1" si="7"/>
        <v>01:05:48</v>
      </c>
      <c r="H25">
        <f t="shared" ca="1" si="0"/>
        <v>5953</v>
      </c>
      <c r="I25">
        <f t="shared" ca="1" si="8"/>
        <v>9307</v>
      </c>
      <c r="J25">
        <f t="shared" ca="1" si="1"/>
        <v>3948</v>
      </c>
    </row>
    <row r="26" spans="1:10" ht="17.25" customHeight="1" x14ac:dyDescent="0.15">
      <c r="A26" s="1">
        <v>43059</v>
      </c>
      <c r="B26">
        <f t="shared" ca="1" si="2"/>
        <v>155</v>
      </c>
      <c r="C26" s="24" t="str">
        <f t="shared" ca="1" si="3"/>
        <v>01:11:53</v>
      </c>
      <c r="D26">
        <f t="shared" ca="1" si="4"/>
        <v>105</v>
      </c>
      <c r="E26" s="24" t="str">
        <f t="shared" ca="1" si="5"/>
        <v>01:55:30</v>
      </c>
      <c r="F26">
        <f t="shared" ca="1" si="6"/>
        <v>1478</v>
      </c>
      <c r="G26" s="24" t="str">
        <f t="shared" ca="1" si="7"/>
        <v>01:23:15</v>
      </c>
      <c r="H26">
        <f t="shared" ca="1" si="0"/>
        <v>4313</v>
      </c>
      <c r="I26">
        <f t="shared" ca="1" si="8"/>
        <v>6930</v>
      </c>
      <c r="J26">
        <f t="shared" ca="1" si="1"/>
        <v>4995</v>
      </c>
    </row>
    <row r="27" spans="1:10" ht="17.25" customHeight="1" x14ac:dyDescent="0.15">
      <c r="A27" s="1">
        <v>43058</v>
      </c>
      <c r="B27">
        <f t="shared" ca="1" si="2"/>
        <v>173</v>
      </c>
      <c r="C27" s="24" t="str">
        <f t="shared" ca="1" si="3"/>
        <v>01:01:58</v>
      </c>
      <c r="D27">
        <f t="shared" ca="1" si="4"/>
        <v>101</v>
      </c>
      <c r="E27" s="24" t="str">
        <f t="shared" ca="1" si="5"/>
        <v>02:38:45</v>
      </c>
      <c r="F27">
        <f t="shared" ca="1" si="6"/>
        <v>1225</v>
      </c>
      <c r="G27" s="24" t="str">
        <f t="shared" ca="1" si="7"/>
        <v>01:03:34</v>
      </c>
      <c r="H27">
        <f t="shared" ca="1" si="0"/>
        <v>3718</v>
      </c>
      <c r="I27">
        <f t="shared" ca="1" si="8"/>
        <v>9525</v>
      </c>
      <c r="J27">
        <f t="shared" ca="1" si="1"/>
        <v>3814</v>
      </c>
    </row>
    <row r="28" spans="1:10" ht="17.25" customHeight="1" x14ac:dyDescent="0.15">
      <c r="A28" s="1">
        <v>43057</v>
      </c>
      <c r="B28">
        <f t="shared" ca="1" si="2"/>
        <v>138</v>
      </c>
      <c r="C28" s="24" t="str">
        <f t="shared" ca="1" si="3"/>
        <v>01:56:16</v>
      </c>
      <c r="D28">
        <f t="shared" ca="1" si="4"/>
        <v>97</v>
      </c>
      <c r="E28" s="24" t="str">
        <f t="shared" ca="1" si="5"/>
        <v>02:09:35</v>
      </c>
      <c r="F28">
        <f t="shared" ca="1" si="6"/>
        <v>1201</v>
      </c>
      <c r="G28" s="24" t="str">
        <f t="shared" ca="1" si="7"/>
        <v>01:19:04</v>
      </c>
      <c r="H28">
        <f t="shared" ca="1" si="0"/>
        <v>6976</v>
      </c>
      <c r="I28">
        <f t="shared" ca="1" si="8"/>
        <v>7775</v>
      </c>
      <c r="J28">
        <f t="shared" ca="1" si="1"/>
        <v>4744</v>
      </c>
    </row>
    <row r="29" spans="1:10" ht="17.25" customHeight="1" x14ac:dyDescent="0.15">
      <c r="A29" s="1">
        <v>43056</v>
      </c>
      <c r="B29">
        <f t="shared" ca="1" si="2"/>
        <v>108</v>
      </c>
      <c r="C29" s="24" t="str">
        <f t="shared" ca="1" si="3"/>
        <v>01:20:19</v>
      </c>
      <c r="D29">
        <f t="shared" ca="1" si="4"/>
        <v>103</v>
      </c>
      <c r="E29" s="24" t="str">
        <f t="shared" ca="1" si="5"/>
        <v>02:29:33</v>
      </c>
      <c r="F29">
        <f t="shared" ca="1" si="6"/>
        <v>1353</v>
      </c>
      <c r="G29" s="24" t="str">
        <f t="shared" ca="1" si="7"/>
        <v>00:35:59</v>
      </c>
      <c r="H29">
        <f t="shared" ca="1" si="0"/>
        <v>4819</v>
      </c>
      <c r="I29">
        <f t="shared" ca="1" si="8"/>
        <v>8973</v>
      </c>
      <c r="J29">
        <f t="shared" ca="1" si="1"/>
        <v>2159</v>
      </c>
    </row>
    <row r="30" spans="1:10" ht="17.25" customHeight="1" x14ac:dyDescent="0.15">
      <c r="A30" s="1">
        <v>43055</v>
      </c>
      <c r="B30">
        <f t="shared" ca="1" si="2"/>
        <v>188</v>
      </c>
      <c r="C30" s="24" t="str">
        <f t="shared" ca="1" si="3"/>
        <v>01:50:10</v>
      </c>
      <c r="D30">
        <f t="shared" ca="1" si="4"/>
        <v>102</v>
      </c>
      <c r="E30" s="24" t="str">
        <f t="shared" ca="1" si="5"/>
        <v>02:57:56</v>
      </c>
      <c r="F30">
        <f t="shared" ca="1" si="6"/>
        <v>1440</v>
      </c>
      <c r="G30" s="24" t="str">
        <f t="shared" ca="1" si="7"/>
        <v>01:12:25</v>
      </c>
      <c r="H30">
        <f t="shared" ca="1" si="0"/>
        <v>6610</v>
      </c>
      <c r="I30">
        <f t="shared" ca="1" si="8"/>
        <v>10676</v>
      </c>
      <c r="J30">
        <f t="shared" ca="1" si="1"/>
        <v>4345</v>
      </c>
    </row>
    <row r="31" spans="1:10" ht="17.25" customHeight="1" x14ac:dyDescent="0.15">
      <c r="A31" s="1">
        <v>43054</v>
      </c>
      <c r="B31">
        <f t="shared" ca="1" si="2"/>
        <v>162</v>
      </c>
      <c r="C31" s="24" t="str">
        <f t="shared" ca="1" si="3"/>
        <v>01:12:15</v>
      </c>
      <c r="D31">
        <f t="shared" ca="1" si="4"/>
        <v>96</v>
      </c>
      <c r="E31" s="24" t="str">
        <f t="shared" ca="1" si="5"/>
        <v>02:17:25</v>
      </c>
      <c r="F31">
        <f t="shared" ca="1" si="6"/>
        <v>1344</v>
      </c>
      <c r="G31" s="24" t="str">
        <f t="shared" ca="1" si="7"/>
        <v>00:53:05</v>
      </c>
      <c r="H31">
        <f t="shared" ca="1" si="0"/>
        <v>4335</v>
      </c>
      <c r="I31">
        <f t="shared" ca="1" si="8"/>
        <v>8245</v>
      </c>
      <c r="J31">
        <f t="shared" ca="1" si="1"/>
        <v>3185</v>
      </c>
    </row>
    <row r="32" spans="1:10" ht="17.25" customHeight="1" x14ac:dyDescent="0.15">
      <c r="A32" s="1">
        <v>43053</v>
      </c>
      <c r="B32">
        <f t="shared" ca="1" si="2"/>
        <v>199</v>
      </c>
      <c r="C32" s="24" t="str">
        <f t="shared" ca="1" si="3"/>
        <v>01:52:19</v>
      </c>
      <c r="D32">
        <f t="shared" ca="1" si="4"/>
        <v>115</v>
      </c>
      <c r="E32" s="24" t="str">
        <f t="shared" ca="1" si="5"/>
        <v>02:35:58</v>
      </c>
      <c r="F32">
        <f t="shared" ca="1" si="6"/>
        <v>1452</v>
      </c>
      <c r="G32" s="24" t="str">
        <f t="shared" ca="1" si="7"/>
        <v>01:11:38</v>
      </c>
      <c r="H32">
        <f t="shared" ca="1" si="0"/>
        <v>6739</v>
      </c>
      <c r="I32">
        <f t="shared" ca="1" si="8"/>
        <v>9358</v>
      </c>
      <c r="J32">
        <f t="shared" ca="1" si="1"/>
        <v>4298</v>
      </c>
    </row>
    <row r="33" spans="1:10" ht="17.25" customHeight="1" x14ac:dyDescent="0.15">
      <c r="A33" s="1">
        <v>43052</v>
      </c>
      <c r="B33">
        <f t="shared" ca="1" si="2"/>
        <v>182</v>
      </c>
      <c r="C33" s="24" t="str">
        <f t="shared" ca="1" si="3"/>
        <v>01:59:09</v>
      </c>
      <c r="D33">
        <f t="shared" ca="1" si="4"/>
        <v>97</v>
      </c>
      <c r="E33" s="24" t="str">
        <f t="shared" ca="1" si="5"/>
        <v>02:04:07</v>
      </c>
      <c r="F33">
        <f t="shared" ca="1" si="6"/>
        <v>1411</v>
      </c>
      <c r="G33" s="24" t="str">
        <f t="shared" ca="1" si="7"/>
        <v>01:00:00</v>
      </c>
      <c r="H33">
        <f t="shared" ca="1" si="0"/>
        <v>7149</v>
      </c>
      <c r="I33">
        <f t="shared" ca="1" si="8"/>
        <v>7447</v>
      </c>
      <c r="J33">
        <f t="shared" ca="1" si="1"/>
        <v>3600</v>
      </c>
    </row>
    <row r="34" spans="1:10" ht="17.25" customHeight="1" x14ac:dyDescent="0.15">
      <c r="A34" s="1">
        <v>43051</v>
      </c>
      <c r="B34">
        <f t="shared" ca="1" si="2"/>
        <v>140</v>
      </c>
      <c r="C34" s="24" t="str">
        <f t="shared" ca="1" si="3"/>
        <v>01:58:48</v>
      </c>
      <c r="D34">
        <f t="shared" ca="1" si="4"/>
        <v>83</v>
      </c>
      <c r="E34" s="24" t="str">
        <f t="shared" ca="1" si="5"/>
        <v>03:04:17</v>
      </c>
      <c r="F34">
        <f t="shared" ca="1" si="6"/>
        <v>1209</v>
      </c>
      <c r="G34" s="24" t="str">
        <f t="shared" ca="1" si="7"/>
        <v>01:20:43</v>
      </c>
      <c r="H34">
        <f t="shared" ca="1" si="0"/>
        <v>7128</v>
      </c>
      <c r="I34">
        <f t="shared" ca="1" si="8"/>
        <v>11057</v>
      </c>
      <c r="J34">
        <f t="shared" ca="1" si="1"/>
        <v>4843</v>
      </c>
    </row>
    <row r="35" spans="1:10" ht="17.25" customHeight="1" x14ac:dyDescent="0.15">
      <c r="A35" s="1">
        <v>43050</v>
      </c>
      <c r="B35">
        <f t="shared" ca="1" si="2"/>
        <v>168</v>
      </c>
      <c r="C35" s="24" t="str">
        <f t="shared" ca="1" si="3"/>
        <v>01:07:16</v>
      </c>
      <c r="D35">
        <f t="shared" ca="1" si="4"/>
        <v>90</v>
      </c>
      <c r="E35" s="24" t="str">
        <f t="shared" ca="1" si="5"/>
        <v>03:05:36</v>
      </c>
      <c r="F35">
        <f t="shared" ca="1" si="6"/>
        <v>1296</v>
      </c>
      <c r="G35" s="24" t="str">
        <f t="shared" ca="1" si="7"/>
        <v>00:58:22</v>
      </c>
      <c r="H35">
        <f t="shared" ca="1" si="0"/>
        <v>4036</v>
      </c>
      <c r="I35">
        <f t="shared" ca="1" si="8"/>
        <v>11136</v>
      </c>
      <c r="J35">
        <f t="shared" ca="1" si="1"/>
        <v>3502</v>
      </c>
    </row>
    <row r="36" spans="1:10" ht="17.25" customHeight="1" x14ac:dyDescent="0.15">
      <c r="A36" s="1">
        <v>43049</v>
      </c>
      <c r="B36">
        <f t="shared" ca="1" si="2"/>
        <v>122</v>
      </c>
      <c r="C36" s="24" t="str">
        <f t="shared" ca="1" si="3"/>
        <v>01:53:42</v>
      </c>
      <c r="D36">
        <f t="shared" ca="1" si="4"/>
        <v>118</v>
      </c>
      <c r="E36" s="24" t="str">
        <f t="shared" ca="1" si="5"/>
        <v>02:41:39</v>
      </c>
      <c r="F36">
        <f t="shared" ca="1" si="6"/>
        <v>1431</v>
      </c>
      <c r="G36" s="24" t="str">
        <f t="shared" ca="1" si="7"/>
        <v>01:23:20</v>
      </c>
      <c r="H36">
        <f t="shared" ca="1" si="0"/>
        <v>6822</v>
      </c>
      <c r="I36">
        <f t="shared" ca="1" si="8"/>
        <v>9699</v>
      </c>
      <c r="J36">
        <f t="shared" ca="1" si="1"/>
        <v>5000</v>
      </c>
    </row>
    <row r="37" spans="1:10" ht="17.25" customHeight="1" x14ac:dyDescent="0.15">
      <c r="A37" s="1">
        <v>43048</v>
      </c>
      <c r="B37">
        <f t="shared" ca="1" si="2"/>
        <v>123</v>
      </c>
      <c r="C37" s="24" t="str">
        <f t="shared" ca="1" si="3"/>
        <v>01:24:01</v>
      </c>
      <c r="D37">
        <f t="shared" ca="1" si="4"/>
        <v>98</v>
      </c>
      <c r="E37" s="24" t="str">
        <f t="shared" ca="1" si="5"/>
        <v>03:10:45</v>
      </c>
      <c r="F37">
        <f t="shared" ca="1" si="6"/>
        <v>1324</v>
      </c>
      <c r="G37" s="24" t="str">
        <f t="shared" ca="1" si="7"/>
        <v>01:11:30</v>
      </c>
      <c r="H37">
        <f t="shared" ca="1" si="0"/>
        <v>5041</v>
      </c>
      <c r="I37">
        <f t="shared" ca="1" si="8"/>
        <v>11445</v>
      </c>
      <c r="J37">
        <f t="shared" ca="1" si="1"/>
        <v>4290</v>
      </c>
    </row>
    <row r="38" spans="1:10" ht="17.25" customHeight="1" x14ac:dyDescent="0.15">
      <c r="A38" s="1">
        <v>43047</v>
      </c>
      <c r="B38">
        <f t="shared" ca="1" si="2"/>
        <v>195</v>
      </c>
      <c r="C38" s="24" t="str">
        <f t="shared" ca="1" si="3"/>
        <v>01:03:47</v>
      </c>
      <c r="D38">
        <f t="shared" ca="1" si="4"/>
        <v>120</v>
      </c>
      <c r="E38" s="24" t="str">
        <f t="shared" ca="1" si="5"/>
        <v>02:41:12</v>
      </c>
      <c r="F38">
        <f t="shared" ca="1" si="6"/>
        <v>1288</v>
      </c>
      <c r="G38" s="24" t="str">
        <f t="shared" ca="1" si="7"/>
        <v>00:33:20</v>
      </c>
      <c r="H38">
        <f t="shared" ca="1" si="0"/>
        <v>3827</v>
      </c>
      <c r="I38">
        <f t="shared" ca="1" si="8"/>
        <v>9672</v>
      </c>
      <c r="J38">
        <f t="shared" ca="1" si="1"/>
        <v>2000</v>
      </c>
    </row>
    <row r="39" spans="1:10" ht="17.25" customHeight="1" x14ac:dyDescent="0.15">
      <c r="A39" s="1">
        <v>43046</v>
      </c>
      <c r="B39">
        <f t="shared" ca="1" si="2"/>
        <v>154</v>
      </c>
      <c r="C39" s="24" t="str">
        <f t="shared" ca="1" si="3"/>
        <v>01:49:29</v>
      </c>
      <c r="D39">
        <f t="shared" ca="1" si="4"/>
        <v>115</v>
      </c>
      <c r="E39" s="24" t="str">
        <f t="shared" ca="1" si="5"/>
        <v>03:06:16</v>
      </c>
      <c r="F39">
        <f t="shared" ca="1" si="6"/>
        <v>1420</v>
      </c>
      <c r="G39" s="24" t="str">
        <f t="shared" ca="1" si="7"/>
        <v>01:17:01</v>
      </c>
      <c r="H39">
        <f t="shared" ca="1" si="0"/>
        <v>6569</v>
      </c>
      <c r="I39">
        <f t="shared" ca="1" si="8"/>
        <v>11176</v>
      </c>
      <c r="J39">
        <f t="shared" ca="1" si="1"/>
        <v>4621</v>
      </c>
    </row>
    <row r="40" spans="1:10" ht="17.25" customHeight="1" x14ac:dyDescent="0.15">
      <c r="A40" s="1">
        <v>43045</v>
      </c>
      <c r="B40">
        <f t="shared" ca="1" si="2"/>
        <v>101</v>
      </c>
      <c r="C40" s="24" t="str">
        <f t="shared" ca="1" si="3"/>
        <v>01:15:07</v>
      </c>
      <c r="D40">
        <f t="shared" ca="1" si="4"/>
        <v>83</v>
      </c>
      <c r="E40" s="24" t="str">
        <f t="shared" ca="1" si="5"/>
        <v>02:01:08</v>
      </c>
      <c r="F40">
        <f t="shared" ca="1" si="6"/>
        <v>1465</v>
      </c>
      <c r="G40" s="24" t="str">
        <f t="shared" ca="1" si="7"/>
        <v>01:11:51</v>
      </c>
      <c r="H40">
        <f t="shared" ca="1" si="0"/>
        <v>4507</v>
      </c>
      <c r="I40">
        <f t="shared" ca="1" si="8"/>
        <v>7268</v>
      </c>
      <c r="J40">
        <f t="shared" ca="1" si="1"/>
        <v>4311</v>
      </c>
    </row>
    <row r="41" spans="1:10" ht="17.25" customHeight="1" x14ac:dyDescent="0.15">
      <c r="A41" s="1">
        <v>43044</v>
      </c>
      <c r="B41">
        <f t="shared" ca="1" si="2"/>
        <v>109</v>
      </c>
      <c r="C41" s="24" t="str">
        <f t="shared" ca="1" si="3"/>
        <v>01:30:11</v>
      </c>
      <c r="D41">
        <f t="shared" ca="1" si="4"/>
        <v>90</v>
      </c>
      <c r="E41" s="24" t="str">
        <f t="shared" ca="1" si="5"/>
        <v>02:20:57</v>
      </c>
      <c r="F41">
        <f t="shared" ca="1" si="6"/>
        <v>1236</v>
      </c>
      <c r="G41" s="24" t="str">
        <f t="shared" ca="1" si="7"/>
        <v>00:46:30</v>
      </c>
      <c r="H41">
        <f t="shared" ca="1" si="0"/>
        <v>5411</v>
      </c>
      <c r="I41">
        <f t="shared" ca="1" si="8"/>
        <v>8457</v>
      </c>
      <c r="J41">
        <f t="shared" ca="1" si="1"/>
        <v>2790</v>
      </c>
    </row>
    <row r="42" spans="1:10" ht="17.25" customHeight="1" x14ac:dyDescent="0.15">
      <c r="A42" s="1">
        <v>43043</v>
      </c>
      <c r="B42">
        <f t="shared" ca="1" si="2"/>
        <v>140</v>
      </c>
      <c r="C42" s="24" t="str">
        <f t="shared" ca="1" si="3"/>
        <v>01:22:56</v>
      </c>
      <c r="D42">
        <f t="shared" ca="1" si="4"/>
        <v>105</v>
      </c>
      <c r="E42" s="24" t="str">
        <f t="shared" ca="1" si="5"/>
        <v>02:10:37</v>
      </c>
      <c r="F42">
        <f t="shared" ca="1" si="6"/>
        <v>1261</v>
      </c>
      <c r="G42" s="24" t="str">
        <f t="shared" ca="1" si="7"/>
        <v>01:17:32</v>
      </c>
      <c r="H42">
        <f t="shared" ca="1" si="0"/>
        <v>4976</v>
      </c>
      <c r="I42">
        <f t="shared" ca="1" si="8"/>
        <v>7837</v>
      </c>
      <c r="J42">
        <f t="shared" ca="1" si="1"/>
        <v>4652</v>
      </c>
    </row>
    <row r="43" spans="1:10" ht="17.25" customHeight="1" x14ac:dyDescent="0.15">
      <c r="A43" s="1">
        <v>43042</v>
      </c>
      <c r="B43">
        <f t="shared" ca="1" si="2"/>
        <v>188</v>
      </c>
      <c r="C43" s="24" t="str">
        <f t="shared" ca="1" si="3"/>
        <v>01:01:22</v>
      </c>
      <c r="D43">
        <f t="shared" ca="1" si="4"/>
        <v>82</v>
      </c>
      <c r="E43" s="24" t="str">
        <f t="shared" ca="1" si="5"/>
        <v>02:30:09</v>
      </c>
      <c r="F43">
        <f t="shared" ca="1" si="6"/>
        <v>1495</v>
      </c>
      <c r="G43" s="24" t="str">
        <f t="shared" ca="1" si="7"/>
        <v>00:44:42</v>
      </c>
      <c r="H43">
        <f t="shared" ca="1" si="0"/>
        <v>3682</v>
      </c>
      <c r="I43">
        <f t="shared" ca="1" si="8"/>
        <v>9009</v>
      </c>
      <c r="J43">
        <f t="shared" ca="1" si="1"/>
        <v>2682</v>
      </c>
    </row>
    <row r="44" spans="1:10" ht="17.25" customHeight="1" x14ac:dyDescent="0.15">
      <c r="A44" s="1">
        <v>43041</v>
      </c>
      <c r="B44">
        <f t="shared" ca="1" si="2"/>
        <v>108</v>
      </c>
      <c r="C44" s="24" t="str">
        <f t="shared" ca="1" si="3"/>
        <v>01:31:26</v>
      </c>
      <c r="D44">
        <f t="shared" ca="1" si="4"/>
        <v>89</v>
      </c>
      <c r="E44" s="24" t="str">
        <f t="shared" ca="1" si="5"/>
        <v>02:08:34</v>
      </c>
      <c r="F44">
        <f t="shared" ca="1" si="6"/>
        <v>1318</v>
      </c>
      <c r="G44" s="24" t="str">
        <f t="shared" ca="1" si="7"/>
        <v>00:38:08</v>
      </c>
      <c r="H44">
        <f t="shared" ca="1" si="0"/>
        <v>5486</v>
      </c>
      <c r="I44">
        <f t="shared" ca="1" si="8"/>
        <v>7714</v>
      </c>
      <c r="J44">
        <f t="shared" ca="1" si="1"/>
        <v>2288</v>
      </c>
    </row>
    <row r="45" spans="1:10" ht="17.25" customHeight="1" x14ac:dyDescent="0.15">
      <c r="A45" s="1">
        <v>43040</v>
      </c>
      <c r="B45">
        <f t="shared" ca="1" si="2"/>
        <v>166</v>
      </c>
      <c r="C45" s="24" t="str">
        <f t="shared" ca="1" si="3"/>
        <v>01:07:59</v>
      </c>
      <c r="D45">
        <f t="shared" ca="1" si="4"/>
        <v>90</v>
      </c>
      <c r="E45" s="24" t="str">
        <f t="shared" ca="1" si="5"/>
        <v>02:37:55</v>
      </c>
      <c r="F45">
        <f t="shared" ca="1" si="6"/>
        <v>1361</v>
      </c>
      <c r="G45" s="24" t="str">
        <f t="shared" ca="1" si="7"/>
        <v>00:43:34</v>
      </c>
      <c r="H45">
        <f t="shared" ca="1" si="0"/>
        <v>4079</v>
      </c>
      <c r="I45">
        <f t="shared" ca="1" si="8"/>
        <v>9475</v>
      </c>
      <c r="J45">
        <f t="shared" ca="1" si="1"/>
        <v>2614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selection activeCell="H8" sqref="H8"/>
    </sheetView>
  </sheetViews>
  <sheetFormatPr defaultRowHeight="13.5" x14ac:dyDescent="0.15"/>
  <cols>
    <col min="1" max="1" width="11.625" bestFit="1" customWidth="1"/>
    <col min="2" max="2" width="9.625" customWidth="1"/>
    <col min="3" max="3" width="15.125" bestFit="1" customWidth="1"/>
    <col min="4" max="4" width="17.25" bestFit="1" customWidth="1"/>
    <col min="5" max="5" width="14.75" customWidth="1"/>
    <col min="6" max="6" width="23.625" customWidth="1"/>
    <col min="7" max="7" width="9.75" customWidth="1"/>
    <col min="8" max="8" width="10.875" customWidth="1"/>
    <col min="9" max="9" width="9.25" customWidth="1"/>
    <col min="10" max="10" width="7.875" customWidth="1"/>
    <col min="11" max="11" width="8.5" customWidth="1"/>
    <col min="12" max="12" width="11.625" bestFit="1" customWidth="1"/>
    <col min="13" max="13" width="13.75" customWidth="1"/>
    <col min="14" max="14" width="15.125" customWidth="1"/>
    <col min="15" max="15" width="13.875" bestFit="1" customWidth="1"/>
  </cols>
  <sheetData>
    <row r="1" spans="1:15" s="27" customFormat="1" x14ac:dyDescent="0.15">
      <c r="A1" s="27" t="s">
        <v>153</v>
      </c>
      <c r="B1" s="27" t="s">
        <v>139</v>
      </c>
      <c r="C1" s="27" t="s">
        <v>154</v>
      </c>
      <c r="D1" s="27" t="s">
        <v>155</v>
      </c>
      <c r="E1" s="27" t="s">
        <v>165</v>
      </c>
      <c r="F1" s="27" t="s">
        <v>166</v>
      </c>
      <c r="G1" s="27" t="s">
        <v>160</v>
      </c>
      <c r="H1" s="27" t="s">
        <v>161</v>
      </c>
      <c r="I1" s="27" t="s">
        <v>162</v>
      </c>
      <c r="J1" s="27" t="s">
        <v>156</v>
      </c>
      <c r="K1" s="27" t="s">
        <v>158</v>
      </c>
      <c r="L1" s="27" t="s">
        <v>159</v>
      </c>
      <c r="M1" s="27" t="s">
        <v>163</v>
      </c>
      <c r="N1" s="27" t="s">
        <v>164</v>
      </c>
      <c r="O1" s="27" t="s">
        <v>157</v>
      </c>
    </row>
    <row r="2" spans="1:15" x14ac:dyDescent="0.15">
      <c r="A2" s="1">
        <v>43083</v>
      </c>
      <c r="B2">
        <f ca="1">RANDBETWEEN(1000,2000)</f>
        <v>1004</v>
      </c>
      <c r="C2" s="30">
        <f ca="1">0.2*B2</f>
        <v>200.8</v>
      </c>
      <c r="D2" s="35">
        <f ca="1">RAND()*50+C2</f>
        <v>224.0417659547486</v>
      </c>
      <c r="E2" s="35">
        <f ca="1">D2/B2</f>
        <v>0.22314916927763806</v>
      </c>
      <c r="F2" s="35">
        <f ca="1">D2/C2</f>
        <v>1.1157458463881902</v>
      </c>
      <c r="G2">
        <f ca="1">RANDBETWEEN(150,250)</f>
        <v>228</v>
      </c>
      <c r="H2" s="35">
        <f ca="1">RAND()*50+G2</f>
        <v>242.06505962388457</v>
      </c>
      <c r="I2" s="35">
        <f ca="1">H2/G2</f>
        <v>1.0616888579994936</v>
      </c>
      <c r="J2">
        <f ca="1">RANDBETWEEN(1000,1200)</f>
        <v>1008</v>
      </c>
      <c r="K2" s="30">
        <f ca="1">0.4*J2</f>
        <v>403.20000000000005</v>
      </c>
      <c r="L2" s="35">
        <f ca="1">RAND()*1000+1500</f>
        <v>1679.4416428436139</v>
      </c>
      <c r="M2" s="35">
        <f ca="1">L2/J2</f>
        <v>1.6661127409162837</v>
      </c>
      <c r="N2" s="35">
        <f ca="1">L2/K2</f>
        <v>4.1652818522907085</v>
      </c>
      <c r="O2" s="35">
        <f t="shared" ref="O2:O58" ca="1" si="0">O3+L2</f>
        <v>135005.57121237117</v>
      </c>
    </row>
    <row r="3" spans="1:15" x14ac:dyDescent="0.15">
      <c r="A3" s="1">
        <v>43082</v>
      </c>
      <c r="B3">
        <f t="shared" ref="B3:B61" ca="1" si="1">RANDBETWEEN(1000,2000)</f>
        <v>1434</v>
      </c>
      <c r="C3" s="30">
        <f t="shared" ref="C3:C61" ca="1" si="2">0.2*B3</f>
        <v>286.8</v>
      </c>
      <c r="D3" s="35">
        <f t="shared" ref="D3:D61" ca="1" si="3">RAND()*50+C3</f>
        <v>300.09917402199574</v>
      </c>
      <c r="E3" s="35">
        <f t="shared" ref="E3:E61" ca="1" si="4">D3/B3</f>
        <v>0.20927417993165673</v>
      </c>
      <c r="F3" s="35">
        <f t="shared" ref="F3:F61" ca="1" si="5">D3/C3</f>
        <v>1.0463708996582834</v>
      </c>
      <c r="G3">
        <f t="shared" ref="G3:G61" ca="1" si="6">RANDBETWEEN(150,250)</f>
        <v>219</v>
      </c>
      <c r="H3" s="35">
        <f t="shared" ref="H3:H61" ca="1" si="7">RAND()*50+G3</f>
        <v>228.31944405051581</v>
      </c>
      <c r="I3" s="35">
        <f t="shared" ref="I3:I61" ca="1" si="8">H3/G3</f>
        <v>1.0425545390434512</v>
      </c>
      <c r="J3">
        <f t="shared" ref="J3:J61" ca="1" si="9">RANDBETWEEN(1000,1200)</f>
        <v>1159</v>
      </c>
      <c r="K3" s="30">
        <f t="shared" ref="K3:K61" ca="1" si="10">0.4*J3</f>
        <v>463.6</v>
      </c>
      <c r="L3" s="35">
        <f t="shared" ref="L3:L61" ca="1" si="11">RAND()*1000+1500</f>
        <v>1579.9541977105814</v>
      </c>
      <c r="M3" s="35">
        <f t="shared" ref="M3:M61" ca="1" si="12">L3/J3</f>
        <v>1.3632046572136165</v>
      </c>
      <c r="N3" s="35">
        <f t="shared" ref="N3:N61" ca="1" si="13">L3/K3</f>
        <v>3.4080116430340408</v>
      </c>
      <c r="O3" s="35">
        <f t="shared" ca="1" si="0"/>
        <v>133326.12956952755</v>
      </c>
    </row>
    <row r="4" spans="1:15" x14ac:dyDescent="0.15">
      <c r="A4" s="1">
        <v>43081</v>
      </c>
      <c r="B4">
        <f t="shared" ca="1" si="1"/>
        <v>1515</v>
      </c>
      <c r="C4" s="30">
        <f t="shared" ca="1" si="2"/>
        <v>303</v>
      </c>
      <c r="D4" s="35">
        <f t="shared" ca="1" si="3"/>
        <v>351.66187324368286</v>
      </c>
      <c r="E4" s="35">
        <f t="shared" ca="1" si="4"/>
        <v>0.23212004834566524</v>
      </c>
      <c r="F4" s="35">
        <f t="shared" ca="1" si="5"/>
        <v>1.1606002417283263</v>
      </c>
      <c r="G4">
        <f t="shared" ca="1" si="6"/>
        <v>188</v>
      </c>
      <c r="H4" s="35">
        <f t="shared" ca="1" si="7"/>
        <v>231.02125975951489</v>
      </c>
      <c r="I4" s="35">
        <f t="shared" ca="1" si="8"/>
        <v>1.228836488082526</v>
      </c>
      <c r="J4">
        <f t="shared" ca="1" si="9"/>
        <v>1111</v>
      </c>
      <c r="K4" s="30">
        <f t="shared" ca="1" si="10"/>
        <v>444.40000000000003</v>
      </c>
      <c r="L4" s="35">
        <f t="shared" ca="1" si="11"/>
        <v>2349.3245697356401</v>
      </c>
      <c r="M4" s="35">
        <f t="shared" ca="1" si="12"/>
        <v>2.1146035731193882</v>
      </c>
      <c r="N4" s="35">
        <f t="shared" ca="1" si="13"/>
        <v>5.28650893279847</v>
      </c>
      <c r="O4" s="35">
        <f t="shared" ca="1" si="0"/>
        <v>131746.17537181696</v>
      </c>
    </row>
    <row r="5" spans="1:15" x14ac:dyDescent="0.15">
      <c r="A5" s="1">
        <v>43080</v>
      </c>
      <c r="B5">
        <f t="shared" ca="1" si="1"/>
        <v>1968</v>
      </c>
      <c r="C5" s="30">
        <f t="shared" ca="1" si="2"/>
        <v>393.6</v>
      </c>
      <c r="D5" s="35">
        <f t="shared" ca="1" si="3"/>
        <v>394.6331864406921</v>
      </c>
      <c r="E5" s="35">
        <f t="shared" ca="1" si="4"/>
        <v>0.20052499311010777</v>
      </c>
      <c r="F5" s="35">
        <f t="shared" ca="1" si="5"/>
        <v>1.0026249655505388</v>
      </c>
      <c r="G5">
        <f t="shared" ca="1" si="6"/>
        <v>187</v>
      </c>
      <c r="H5" s="35">
        <f t="shared" ca="1" si="7"/>
        <v>232.76756157618257</v>
      </c>
      <c r="I5" s="35">
        <f t="shared" ca="1" si="8"/>
        <v>1.2447463185892116</v>
      </c>
      <c r="J5">
        <f t="shared" ca="1" si="9"/>
        <v>1139</v>
      </c>
      <c r="K5" s="30">
        <f t="shared" ca="1" si="10"/>
        <v>455.6</v>
      </c>
      <c r="L5" s="35">
        <f t="shared" ca="1" si="11"/>
        <v>1900.8670256235796</v>
      </c>
      <c r="M5" s="35">
        <f t="shared" ca="1" si="12"/>
        <v>1.66889115506899</v>
      </c>
      <c r="N5" s="35">
        <f t="shared" ca="1" si="13"/>
        <v>4.1722278876724745</v>
      </c>
      <c r="O5" s="35">
        <f t="shared" ca="1" si="0"/>
        <v>129396.85080208132</v>
      </c>
    </row>
    <row r="6" spans="1:15" x14ac:dyDescent="0.15">
      <c r="A6" s="1">
        <v>43079</v>
      </c>
      <c r="B6">
        <f t="shared" ca="1" si="1"/>
        <v>1219</v>
      </c>
      <c r="C6" s="30">
        <f t="shared" ca="1" si="2"/>
        <v>243.8</v>
      </c>
      <c r="D6" s="35">
        <f t="shared" ca="1" si="3"/>
        <v>247.53815205569072</v>
      </c>
      <c r="E6" s="35">
        <f t="shared" ca="1" si="4"/>
        <v>0.20306657264617778</v>
      </c>
      <c r="F6" s="35">
        <f t="shared" ca="1" si="5"/>
        <v>1.0153328632308889</v>
      </c>
      <c r="G6">
        <f t="shared" ca="1" si="6"/>
        <v>238</v>
      </c>
      <c r="H6" s="35">
        <f t="shared" ca="1" si="7"/>
        <v>274.61020791021184</v>
      </c>
      <c r="I6" s="35">
        <f t="shared" ca="1" si="8"/>
        <v>1.1538244029840834</v>
      </c>
      <c r="J6">
        <f t="shared" ca="1" si="9"/>
        <v>1181</v>
      </c>
      <c r="K6" s="30">
        <f t="shared" ca="1" si="10"/>
        <v>472.40000000000003</v>
      </c>
      <c r="L6" s="35">
        <f t="shared" ca="1" si="11"/>
        <v>1954.912273767638</v>
      </c>
      <c r="M6" s="35">
        <f t="shared" ca="1" si="12"/>
        <v>1.6553025180081609</v>
      </c>
      <c r="N6" s="35">
        <f t="shared" ca="1" si="13"/>
        <v>4.138256295020402</v>
      </c>
      <c r="O6" s="35">
        <f t="shared" ca="1" si="0"/>
        <v>127495.98377645774</v>
      </c>
    </row>
    <row r="7" spans="1:15" x14ac:dyDescent="0.15">
      <c r="A7" s="1">
        <v>43078</v>
      </c>
      <c r="B7">
        <f t="shared" ca="1" si="1"/>
        <v>1058</v>
      </c>
      <c r="C7" s="30">
        <f t="shared" ca="1" si="2"/>
        <v>211.60000000000002</v>
      </c>
      <c r="D7" s="35">
        <f t="shared" ca="1" si="3"/>
        <v>219.30314594855324</v>
      </c>
      <c r="E7" s="35">
        <f t="shared" ca="1" si="4"/>
        <v>0.20728085628407678</v>
      </c>
      <c r="F7" s="35">
        <f t="shared" ca="1" si="5"/>
        <v>1.0364042814203838</v>
      </c>
      <c r="G7">
        <f t="shared" ca="1" si="6"/>
        <v>208</v>
      </c>
      <c r="H7" s="35">
        <f t="shared" ca="1" si="7"/>
        <v>257.9925085540699</v>
      </c>
      <c r="I7" s="35">
        <f t="shared" ca="1" si="8"/>
        <v>1.2403485988176437</v>
      </c>
      <c r="J7">
        <f t="shared" ca="1" si="9"/>
        <v>1077</v>
      </c>
      <c r="K7" s="30">
        <f t="shared" ca="1" si="10"/>
        <v>430.8</v>
      </c>
      <c r="L7" s="35">
        <f t="shared" ca="1" si="11"/>
        <v>2264.9618606218401</v>
      </c>
      <c r="M7" s="35">
        <f t="shared" ca="1" si="12"/>
        <v>2.103028654244977</v>
      </c>
      <c r="N7" s="35">
        <f t="shared" ca="1" si="13"/>
        <v>5.2575716356124422</v>
      </c>
      <c r="O7" s="35">
        <f t="shared" ca="1" si="0"/>
        <v>125541.0715026901</v>
      </c>
    </row>
    <row r="8" spans="1:15" x14ac:dyDescent="0.15">
      <c r="A8" s="1">
        <v>43077</v>
      </c>
      <c r="B8">
        <f t="shared" ca="1" si="1"/>
        <v>1433</v>
      </c>
      <c r="C8" s="30">
        <f t="shared" ca="1" si="2"/>
        <v>286.60000000000002</v>
      </c>
      <c r="D8" s="35">
        <f t="shared" ca="1" si="3"/>
        <v>294.78280397724768</v>
      </c>
      <c r="E8" s="35">
        <f t="shared" ca="1" si="4"/>
        <v>0.20571026097505071</v>
      </c>
      <c r="F8" s="35">
        <f t="shared" ca="1" si="5"/>
        <v>1.0285513048752535</v>
      </c>
      <c r="G8">
        <f t="shared" ca="1" si="6"/>
        <v>219</v>
      </c>
      <c r="H8" s="35">
        <f t="shared" ca="1" si="7"/>
        <v>227.66519407821625</v>
      </c>
      <c r="I8" s="35">
        <f t="shared" ca="1" si="8"/>
        <v>1.0395670962475627</v>
      </c>
      <c r="J8">
        <f t="shared" ca="1" si="9"/>
        <v>1102</v>
      </c>
      <c r="K8" s="30">
        <f t="shared" ca="1" si="10"/>
        <v>440.8</v>
      </c>
      <c r="L8" s="35">
        <f t="shared" ca="1" si="11"/>
        <v>2316.609438202328</v>
      </c>
      <c r="M8" s="35">
        <f t="shared" ca="1" si="12"/>
        <v>2.1021864230511143</v>
      </c>
      <c r="N8" s="35">
        <f t="shared" ca="1" si="13"/>
        <v>5.2554660576277854</v>
      </c>
      <c r="O8" s="35">
        <f t="shared" ca="1" si="0"/>
        <v>123276.10964206826</v>
      </c>
    </row>
    <row r="9" spans="1:15" x14ac:dyDescent="0.15">
      <c r="A9" s="1">
        <v>43076</v>
      </c>
      <c r="B9">
        <f t="shared" ca="1" si="1"/>
        <v>1076</v>
      </c>
      <c r="C9" s="30">
        <f t="shared" ca="1" si="2"/>
        <v>215.20000000000002</v>
      </c>
      <c r="D9" s="35">
        <f t="shared" ca="1" si="3"/>
        <v>248.09040952130772</v>
      </c>
      <c r="E9" s="35">
        <f t="shared" ca="1" si="4"/>
        <v>0.23056729509415216</v>
      </c>
      <c r="F9" s="35">
        <f t="shared" ca="1" si="5"/>
        <v>1.1528364754707607</v>
      </c>
      <c r="G9">
        <f t="shared" ca="1" si="6"/>
        <v>207</v>
      </c>
      <c r="H9" s="35">
        <f t="shared" ca="1" si="7"/>
        <v>248.87652652187916</v>
      </c>
      <c r="I9" s="35">
        <f t="shared" ca="1" si="8"/>
        <v>1.2023020604921699</v>
      </c>
      <c r="J9">
        <f t="shared" ca="1" si="9"/>
        <v>1158</v>
      </c>
      <c r="K9" s="30">
        <f t="shared" ca="1" si="10"/>
        <v>463.20000000000005</v>
      </c>
      <c r="L9" s="35">
        <f t="shared" ca="1" si="11"/>
        <v>2320.5546140790775</v>
      </c>
      <c r="M9" s="35">
        <f t="shared" ca="1" si="12"/>
        <v>2.0039331727798597</v>
      </c>
      <c r="N9" s="35">
        <f t="shared" ca="1" si="13"/>
        <v>5.0098329319496484</v>
      </c>
      <c r="O9" s="35">
        <f t="shared" ca="1" si="0"/>
        <v>120959.50020386593</v>
      </c>
    </row>
    <row r="10" spans="1:15" x14ac:dyDescent="0.15">
      <c r="A10" s="1">
        <v>43075</v>
      </c>
      <c r="B10">
        <f t="shared" ca="1" si="1"/>
        <v>1660</v>
      </c>
      <c r="C10" s="30">
        <f t="shared" ca="1" si="2"/>
        <v>332</v>
      </c>
      <c r="D10" s="35">
        <f t="shared" ca="1" si="3"/>
        <v>378.36550610867187</v>
      </c>
      <c r="E10" s="35">
        <f t="shared" ca="1" si="4"/>
        <v>0.22793102777630836</v>
      </c>
      <c r="F10" s="35">
        <f t="shared" ca="1" si="5"/>
        <v>1.1396551388815417</v>
      </c>
      <c r="G10">
        <f t="shared" ca="1" si="6"/>
        <v>230</v>
      </c>
      <c r="H10" s="35">
        <f t="shared" ca="1" si="7"/>
        <v>235.39804720328328</v>
      </c>
      <c r="I10" s="35">
        <f t="shared" ca="1" si="8"/>
        <v>1.0234697704490578</v>
      </c>
      <c r="J10">
        <f t="shared" ca="1" si="9"/>
        <v>1116</v>
      </c>
      <c r="K10" s="30">
        <f t="shared" ca="1" si="10"/>
        <v>446.40000000000003</v>
      </c>
      <c r="L10" s="35">
        <f t="shared" ca="1" si="11"/>
        <v>2081.0095898797795</v>
      </c>
      <c r="M10" s="35">
        <f t="shared" ca="1" si="12"/>
        <v>1.8647039335840319</v>
      </c>
      <c r="N10" s="35">
        <f t="shared" ca="1" si="13"/>
        <v>4.6617598339600788</v>
      </c>
      <c r="O10" s="35">
        <f t="shared" ca="1" si="0"/>
        <v>118638.94558978685</v>
      </c>
    </row>
    <row r="11" spans="1:15" x14ac:dyDescent="0.15">
      <c r="A11" s="1">
        <v>43074</v>
      </c>
      <c r="B11">
        <f t="shared" ca="1" si="1"/>
        <v>1376</v>
      </c>
      <c r="C11" s="30">
        <f t="shared" ca="1" si="2"/>
        <v>275.2</v>
      </c>
      <c r="D11" s="35">
        <f t="shared" ca="1" si="3"/>
        <v>279.50312380343877</v>
      </c>
      <c r="E11" s="35">
        <f t="shared" ca="1" si="4"/>
        <v>0.20312727020598748</v>
      </c>
      <c r="F11" s="35">
        <f t="shared" ca="1" si="5"/>
        <v>1.0156363510299373</v>
      </c>
      <c r="G11">
        <f t="shared" ca="1" si="6"/>
        <v>243</v>
      </c>
      <c r="H11" s="35">
        <f t="shared" ca="1" si="7"/>
        <v>259.61328082513171</v>
      </c>
      <c r="I11" s="35">
        <f t="shared" ca="1" si="8"/>
        <v>1.0683674108030112</v>
      </c>
      <c r="J11">
        <f t="shared" ca="1" si="9"/>
        <v>1104</v>
      </c>
      <c r="K11" s="30">
        <f t="shared" ca="1" si="10"/>
        <v>441.6</v>
      </c>
      <c r="L11" s="35">
        <f t="shared" ca="1" si="11"/>
        <v>2169.3497201973059</v>
      </c>
      <c r="M11" s="35">
        <f t="shared" ca="1" si="12"/>
        <v>1.9649906885845163</v>
      </c>
      <c r="N11" s="35">
        <f t="shared" ca="1" si="13"/>
        <v>4.9124767214612906</v>
      </c>
      <c r="O11" s="35">
        <f t="shared" ca="1" si="0"/>
        <v>116557.93599990707</v>
      </c>
    </row>
    <row r="12" spans="1:15" x14ac:dyDescent="0.15">
      <c r="A12" s="1">
        <v>43073</v>
      </c>
      <c r="B12">
        <f t="shared" ca="1" si="1"/>
        <v>1976</v>
      </c>
      <c r="C12" s="30">
        <f t="shared" ca="1" si="2"/>
        <v>395.20000000000005</v>
      </c>
      <c r="D12" s="35">
        <f t="shared" ca="1" si="3"/>
        <v>410.11242194009287</v>
      </c>
      <c r="E12" s="35">
        <f t="shared" ca="1" si="4"/>
        <v>0.20754677223688911</v>
      </c>
      <c r="F12" s="35">
        <f t="shared" ca="1" si="5"/>
        <v>1.0377338611844453</v>
      </c>
      <c r="G12">
        <f t="shared" ca="1" si="6"/>
        <v>240</v>
      </c>
      <c r="H12" s="35">
        <f t="shared" ca="1" si="7"/>
        <v>242.90344734848324</v>
      </c>
      <c r="I12" s="35">
        <f t="shared" ca="1" si="8"/>
        <v>1.0120976972853468</v>
      </c>
      <c r="J12">
        <f t="shared" ca="1" si="9"/>
        <v>1129</v>
      </c>
      <c r="K12" s="30">
        <f t="shared" ca="1" si="10"/>
        <v>451.6</v>
      </c>
      <c r="L12" s="35">
        <f t="shared" ca="1" si="11"/>
        <v>2353.2775510865004</v>
      </c>
      <c r="M12" s="35">
        <f t="shared" ca="1" si="12"/>
        <v>2.084391099279451</v>
      </c>
      <c r="N12" s="35">
        <f t="shared" ca="1" si="13"/>
        <v>5.2109777481986272</v>
      </c>
      <c r="O12" s="35">
        <f t="shared" ca="1" si="0"/>
        <v>114388.58627970977</v>
      </c>
    </row>
    <row r="13" spans="1:15" x14ac:dyDescent="0.15">
      <c r="A13" s="1">
        <v>43072</v>
      </c>
      <c r="B13">
        <f t="shared" ca="1" si="1"/>
        <v>1898</v>
      </c>
      <c r="C13" s="30">
        <f t="shared" ca="1" si="2"/>
        <v>379.6</v>
      </c>
      <c r="D13" s="35">
        <f t="shared" ca="1" si="3"/>
        <v>427.57621227898488</v>
      </c>
      <c r="E13" s="35">
        <f t="shared" ca="1" si="4"/>
        <v>0.22527724566859056</v>
      </c>
      <c r="F13" s="35">
        <f t="shared" ca="1" si="5"/>
        <v>1.1263862283429527</v>
      </c>
      <c r="G13">
        <f t="shared" ca="1" si="6"/>
        <v>217</v>
      </c>
      <c r="H13" s="35">
        <f t="shared" ca="1" si="7"/>
        <v>220.86394628849524</v>
      </c>
      <c r="I13" s="35">
        <f t="shared" ca="1" si="8"/>
        <v>1.0178062040944482</v>
      </c>
      <c r="J13">
        <f t="shared" ca="1" si="9"/>
        <v>1161</v>
      </c>
      <c r="K13" s="30">
        <f t="shared" ca="1" si="10"/>
        <v>464.40000000000003</v>
      </c>
      <c r="L13" s="35">
        <f t="shared" ca="1" si="11"/>
        <v>1533.3620206154371</v>
      </c>
      <c r="M13" s="35">
        <f t="shared" ca="1" si="12"/>
        <v>1.3207252546213928</v>
      </c>
      <c r="N13" s="35">
        <f t="shared" ca="1" si="13"/>
        <v>3.301813136553482</v>
      </c>
      <c r="O13" s="35">
        <f t="shared" ca="1" si="0"/>
        <v>112035.30872862326</v>
      </c>
    </row>
    <row r="14" spans="1:15" x14ac:dyDescent="0.15">
      <c r="A14" s="1">
        <v>43071</v>
      </c>
      <c r="B14">
        <f t="shared" ca="1" si="1"/>
        <v>1925</v>
      </c>
      <c r="C14" s="30">
        <f t="shared" ca="1" si="2"/>
        <v>385</v>
      </c>
      <c r="D14" s="35">
        <f t="shared" ca="1" si="3"/>
        <v>403.92263821456123</v>
      </c>
      <c r="E14" s="35">
        <f t="shared" ca="1" si="4"/>
        <v>0.20982994192964219</v>
      </c>
      <c r="F14" s="35">
        <f t="shared" ca="1" si="5"/>
        <v>1.049149709648211</v>
      </c>
      <c r="G14">
        <f t="shared" ca="1" si="6"/>
        <v>248</v>
      </c>
      <c r="H14" s="35">
        <f t="shared" ca="1" si="7"/>
        <v>264.41534156549881</v>
      </c>
      <c r="I14" s="35">
        <f t="shared" ca="1" si="8"/>
        <v>1.0661908934092694</v>
      </c>
      <c r="J14">
        <f t="shared" ca="1" si="9"/>
        <v>1169</v>
      </c>
      <c r="K14" s="30">
        <f t="shared" ca="1" si="10"/>
        <v>467.6</v>
      </c>
      <c r="L14" s="35">
        <f t="shared" ca="1" si="11"/>
        <v>1620.5721467600047</v>
      </c>
      <c r="M14" s="35">
        <f t="shared" ca="1" si="12"/>
        <v>1.3862892615568903</v>
      </c>
      <c r="N14" s="35">
        <f t="shared" ca="1" si="13"/>
        <v>3.4657231538922253</v>
      </c>
      <c r="O14" s="35">
        <f t="shared" ca="1" si="0"/>
        <v>110501.94670800783</v>
      </c>
    </row>
    <row r="15" spans="1:15" x14ac:dyDescent="0.15">
      <c r="A15" s="1">
        <v>43070</v>
      </c>
      <c r="B15">
        <f t="shared" ca="1" si="1"/>
        <v>1027</v>
      </c>
      <c r="C15" s="30">
        <f t="shared" ca="1" si="2"/>
        <v>205.4</v>
      </c>
      <c r="D15" s="35">
        <f t="shared" ca="1" si="3"/>
        <v>207.45277366228561</v>
      </c>
      <c r="E15" s="35">
        <f t="shared" ca="1" si="4"/>
        <v>0.20199880590290711</v>
      </c>
      <c r="F15" s="35">
        <f t="shared" ca="1" si="5"/>
        <v>1.0099940295145355</v>
      </c>
      <c r="G15">
        <f t="shared" ca="1" si="6"/>
        <v>178</v>
      </c>
      <c r="H15" s="35">
        <f t="shared" ca="1" si="7"/>
        <v>179.77357816368979</v>
      </c>
      <c r="I15" s="35">
        <f t="shared" ca="1" si="8"/>
        <v>1.0099639222679202</v>
      </c>
      <c r="J15">
        <f t="shared" ca="1" si="9"/>
        <v>1077</v>
      </c>
      <c r="K15" s="30">
        <f t="shared" ca="1" si="10"/>
        <v>430.8</v>
      </c>
      <c r="L15" s="35">
        <f t="shared" ca="1" si="11"/>
        <v>1893.9164568205549</v>
      </c>
      <c r="M15" s="35">
        <f t="shared" ca="1" si="12"/>
        <v>1.7585111019689461</v>
      </c>
      <c r="N15" s="35">
        <f t="shared" ca="1" si="13"/>
        <v>4.3962777549223651</v>
      </c>
      <c r="O15" s="35">
        <f t="shared" ca="1" si="0"/>
        <v>108881.37456124782</v>
      </c>
    </row>
    <row r="16" spans="1:15" x14ac:dyDescent="0.15">
      <c r="A16" s="1">
        <v>43069</v>
      </c>
      <c r="B16">
        <f t="shared" ca="1" si="1"/>
        <v>1884</v>
      </c>
      <c r="C16" s="30">
        <f t="shared" ca="1" si="2"/>
        <v>376.8</v>
      </c>
      <c r="D16" s="35">
        <f t="shared" ca="1" si="3"/>
        <v>408.42701828655913</v>
      </c>
      <c r="E16" s="35">
        <f t="shared" ca="1" si="4"/>
        <v>0.21678716469562587</v>
      </c>
      <c r="F16" s="35">
        <f t="shared" ca="1" si="5"/>
        <v>1.0839358234781293</v>
      </c>
      <c r="G16">
        <f t="shared" ca="1" si="6"/>
        <v>248</v>
      </c>
      <c r="H16" s="35">
        <f t="shared" ca="1" si="7"/>
        <v>271.20476746116867</v>
      </c>
      <c r="I16" s="35">
        <f t="shared" ca="1" si="8"/>
        <v>1.0935676107305188</v>
      </c>
      <c r="J16">
        <f t="shared" ca="1" si="9"/>
        <v>1095</v>
      </c>
      <c r="K16" s="30">
        <f t="shared" ca="1" si="10"/>
        <v>438</v>
      </c>
      <c r="L16" s="35">
        <f t="shared" ca="1" si="11"/>
        <v>1701.3432782917871</v>
      </c>
      <c r="M16" s="35">
        <f t="shared" ca="1" si="12"/>
        <v>1.5537381536911297</v>
      </c>
      <c r="N16" s="35">
        <f t="shared" ca="1" si="13"/>
        <v>3.8843453842278244</v>
      </c>
      <c r="O16" s="35">
        <f t="shared" ca="1" si="0"/>
        <v>106987.45810442726</v>
      </c>
    </row>
    <row r="17" spans="1:15" x14ac:dyDescent="0.15">
      <c r="A17" s="1">
        <v>43068</v>
      </c>
      <c r="B17">
        <f t="shared" ca="1" si="1"/>
        <v>1167</v>
      </c>
      <c r="C17" s="30">
        <f t="shared" ca="1" si="2"/>
        <v>233.4</v>
      </c>
      <c r="D17" s="35">
        <f t="shared" ca="1" si="3"/>
        <v>240.22876202054516</v>
      </c>
      <c r="E17" s="35">
        <f t="shared" ca="1" si="4"/>
        <v>0.20585155271683389</v>
      </c>
      <c r="F17" s="35">
        <f t="shared" ca="1" si="5"/>
        <v>1.0292577635841695</v>
      </c>
      <c r="G17">
        <f t="shared" ca="1" si="6"/>
        <v>173</v>
      </c>
      <c r="H17" s="35">
        <f t="shared" ca="1" si="7"/>
        <v>211.13197383319454</v>
      </c>
      <c r="I17" s="35">
        <f t="shared" ca="1" si="8"/>
        <v>1.2204160337178875</v>
      </c>
      <c r="J17">
        <f t="shared" ca="1" si="9"/>
        <v>1058</v>
      </c>
      <c r="K17" s="30">
        <f t="shared" ca="1" si="10"/>
        <v>423.20000000000005</v>
      </c>
      <c r="L17" s="35">
        <f t="shared" ca="1" si="11"/>
        <v>2337.9024776733245</v>
      </c>
      <c r="M17" s="35">
        <f t="shared" ca="1" si="12"/>
        <v>2.2097376915626885</v>
      </c>
      <c r="N17" s="35">
        <f t="shared" ca="1" si="13"/>
        <v>5.5243442289067204</v>
      </c>
      <c r="O17" s="35">
        <f t="shared" ca="1" si="0"/>
        <v>105286.11482613548</v>
      </c>
    </row>
    <row r="18" spans="1:15" x14ac:dyDescent="0.15">
      <c r="A18" s="1">
        <v>43067</v>
      </c>
      <c r="B18">
        <f t="shared" ca="1" si="1"/>
        <v>1890</v>
      </c>
      <c r="C18" s="30">
        <f t="shared" ca="1" si="2"/>
        <v>378</v>
      </c>
      <c r="D18" s="35">
        <f t="shared" ca="1" si="3"/>
        <v>403.66290351757334</v>
      </c>
      <c r="E18" s="35">
        <f t="shared" ca="1" si="4"/>
        <v>0.21357825582940387</v>
      </c>
      <c r="F18" s="35">
        <f t="shared" ca="1" si="5"/>
        <v>1.0678912791470194</v>
      </c>
      <c r="G18">
        <f t="shared" ca="1" si="6"/>
        <v>153</v>
      </c>
      <c r="H18" s="35">
        <f t="shared" ca="1" si="7"/>
        <v>199.91099940463164</v>
      </c>
      <c r="I18" s="35">
        <f t="shared" ca="1" si="8"/>
        <v>1.3066078392459584</v>
      </c>
      <c r="J18">
        <f t="shared" ca="1" si="9"/>
        <v>1031</v>
      </c>
      <c r="K18" s="30">
        <f t="shared" ca="1" si="10"/>
        <v>412.40000000000003</v>
      </c>
      <c r="L18" s="35">
        <f t="shared" ca="1" si="11"/>
        <v>2372.4129600775309</v>
      </c>
      <c r="M18" s="35">
        <f t="shared" ca="1" si="12"/>
        <v>2.3010794957105052</v>
      </c>
      <c r="N18" s="35">
        <f t="shared" ca="1" si="13"/>
        <v>5.752698739276263</v>
      </c>
      <c r="O18" s="35">
        <f t="shared" ca="1" si="0"/>
        <v>102948.21234846216</v>
      </c>
    </row>
    <row r="19" spans="1:15" x14ac:dyDescent="0.15">
      <c r="A19" s="1">
        <v>43066</v>
      </c>
      <c r="B19">
        <f t="shared" ca="1" si="1"/>
        <v>1319</v>
      </c>
      <c r="C19" s="30">
        <f t="shared" ca="1" si="2"/>
        <v>263.8</v>
      </c>
      <c r="D19" s="35">
        <f t="shared" ca="1" si="3"/>
        <v>267.39079586142611</v>
      </c>
      <c r="E19" s="35">
        <f t="shared" ca="1" si="4"/>
        <v>0.20272236229069454</v>
      </c>
      <c r="F19" s="35">
        <f t="shared" ca="1" si="5"/>
        <v>1.0136118114534727</v>
      </c>
      <c r="G19">
        <f t="shared" ca="1" si="6"/>
        <v>225</v>
      </c>
      <c r="H19" s="35">
        <f t="shared" ca="1" si="7"/>
        <v>246.36130068192651</v>
      </c>
      <c r="I19" s="35">
        <f t="shared" ca="1" si="8"/>
        <v>1.0949391141418956</v>
      </c>
      <c r="J19">
        <f t="shared" ca="1" si="9"/>
        <v>1024</v>
      </c>
      <c r="K19" s="30">
        <f t="shared" ca="1" si="10"/>
        <v>409.6</v>
      </c>
      <c r="L19" s="35">
        <f t="shared" ca="1" si="11"/>
        <v>1879.9185097392278</v>
      </c>
      <c r="M19" s="35">
        <f t="shared" ca="1" si="12"/>
        <v>1.8358579196672147</v>
      </c>
      <c r="N19" s="35">
        <f t="shared" ca="1" si="13"/>
        <v>4.5896447991680365</v>
      </c>
      <c r="O19" s="35">
        <f t="shared" ca="1" si="0"/>
        <v>100575.79938838462</v>
      </c>
    </row>
    <row r="20" spans="1:15" x14ac:dyDescent="0.15">
      <c r="A20" s="1">
        <v>43065</v>
      </c>
      <c r="B20">
        <f t="shared" ca="1" si="1"/>
        <v>1492</v>
      </c>
      <c r="C20" s="30">
        <f t="shared" ca="1" si="2"/>
        <v>298.40000000000003</v>
      </c>
      <c r="D20" s="35">
        <f t="shared" ca="1" si="3"/>
        <v>323.00438366056687</v>
      </c>
      <c r="E20" s="35">
        <f t="shared" ca="1" si="4"/>
        <v>0.21649087376713597</v>
      </c>
      <c r="F20" s="35">
        <f t="shared" ca="1" si="5"/>
        <v>1.0824543688356798</v>
      </c>
      <c r="G20">
        <f t="shared" ca="1" si="6"/>
        <v>215</v>
      </c>
      <c r="H20" s="35">
        <f t="shared" ca="1" si="7"/>
        <v>231.7416686565183</v>
      </c>
      <c r="I20" s="35">
        <f t="shared" ca="1" si="8"/>
        <v>1.0778682263093875</v>
      </c>
      <c r="J20">
        <f t="shared" ca="1" si="9"/>
        <v>1040</v>
      </c>
      <c r="K20" s="30">
        <f t="shared" ca="1" si="10"/>
        <v>416</v>
      </c>
      <c r="L20" s="35">
        <f t="shared" ca="1" si="11"/>
        <v>1585.8608993001699</v>
      </c>
      <c r="M20" s="35">
        <f t="shared" ca="1" si="12"/>
        <v>1.5248662493270864</v>
      </c>
      <c r="N20" s="35">
        <f t="shared" ca="1" si="13"/>
        <v>3.8121656233177159</v>
      </c>
      <c r="O20" s="35">
        <f t="shared" ca="1" si="0"/>
        <v>98695.880878645388</v>
      </c>
    </row>
    <row r="21" spans="1:15" x14ac:dyDescent="0.15">
      <c r="A21" s="1">
        <v>43064</v>
      </c>
      <c r="B21">
        <f t="shared" ca="1" si="1"/>
        <v>1394</v>
      </c>
      <c r="C21" s="30">
        <f t="shared" ca="1" si="2"/>
        <v>278.8</v>
      </c>
      <c r="D21" s="35">
        <f t="shared" ca="1" si="3"/>
        <v>282.89057179782577</v>
      </c>
      <c r="E21" s="35">
        <f t="shared" ca="1" si="4"/>
        <v>0.20293441305439439</v>
      </c>
      <c r="F21" s="35">
        <f t="shared" ca="1" si="5"/>
        <v>1.0146720652719718</v>
      </c>
      <c r="G21">
        <f t="shared" ca="1" si="6"/>
        <v>237</v>
      </c>
      <c r="H21" s="35">
        <f t="shared" ca="1" si="7"/>
        <v>246.05611108308653</v>
      </c>
      <c r="I21" s="35">
        <f t="shared" ca="1" si="8"/>
        <v>1.0382114391691415</v>
      </c>
      <c r="J21">
        <f t="shared" ca="1" si="9"/>
        <v>1119</v>
      </c>
      <c r="K21" s="30">
        <f t="shared" ca="1" si="10"/>
        <v>447.6</v>
      </c>
      <c r="L21" s="35">
        <f t="shared" ca="1" si="11"/>
        <v>2010.2834174501447</v>
      </c>
      <c r="M21" s="35">
        <f t="shared" ca="1" si="12"/>
        <v>1.796499926228905</v>
      </c>
      <c r="N21" s="35">
        <f t="shared" ca="1" si="13"/>
        <v>4.491249815572262</v>
      </c>
      <c r="O21" s="35">
        <f t="shared" ca="1" si="0"/>
        <v>97110.019979345219</v>
      </c>
    </row>
    <row r="22" spans="1:15" x14ac:dyDescent="0.15">
      <c r="A22" s="1">
        <v>43063</v>
      </c>
      <c r="B22">
        <f t="shared" ca="1" si="1"/>
        <v>1746</v>
      </c>
      <c r="C22" s="30">
        <f t="shared" ca="1" si="2"/>
        <v>349.20000000000005</v>
      </c>
      <c r="D22" s="35">
        <f t="shared" ca="1" si="3"/>
        <v>379.98771251708507</v>
      </c>
      <c r="E22" s="35">
        <f t="shared" ca="1" si="4"/>
        <v>0.21763328322857106</v>
      </c>
      <c r="F22" s="35">
        <f t="shared" ca="1" si="5"/>
        <v>1.0881664161428553</v>
      </c>
      <c r="G22">
        <f t="shared" ca="1" si="6"/>
        <v>243</v>
      </c>
      <c r="H22" s="35">
        <f t="shared" ca="1" si="7"/>
        <v>263.21690210657465</v>
      </c>
      <c r="I22" s="35">
        <f t="shared" ca="1" si="8"/>
        <v>1.0831971280105952</v>
      </c>
      <c r="J22">
        <f t="shared" ca="1" si="9"/>
        <v>1170</v>
      </c>
      <c r="K22" s="30">
        <f t="shared" ca="1" si="10"/>
        <v>468</v>
      </c>
      <c r="L22" s="35">
        <f t="shared" ca="1" si="11"/>
        <v>1955.4026027500531</v>
      </c>
      <c r="M22" s="35">
        <f t="shared" ca="1" si="12"/>
        <v>1.6712842758547461</v>
      </c>
      <c r="N22" s="35">
        <f t="shared" ca="1" si="13"/>
        <v>4.1782106896368658</v>
      </c>
      <c r="O22" s="35">
        <f t="shared" ca="1" si="0"/>
        <v>95099.736561895072</v>
      </c>
    </row>
    <row r="23" spans="1:15" x14ac:dyDescent="0.15">
      <c r="A23" s="1">
        <v>43062</v>
      </c>
      <c r="B23">
        <f t="shared" ca="1" si="1"/>
        <v>1474</v>
      </c>
      <c r="C23" s="30">
        <f t="shared" ca="1" si="2"/>
        <v>294.8</v>
      </c>
      <c r="D23" s="35">
        <f t="shared" ca="1" si="3"/>
        <v>296.10181542044262</v>
      </c>
      <c r="E23" s="35">
        <f t="shared" ca="1" si="4"/>
        <v>0.20088318549555131</v>
      </c>
      <c r="F23" s="35">
        <f t="shared" ca="1" si="5"/>
        <v>1.0044159274777564</v>
      </c>
      <c r="G23">
        <f t="shared" ca="1" si="6"/>
        <v>169</v>
      </c>
      <c r="H23" s="35">
        <f t="shared" ca="1" si="7"/>
        <v>174.15718455371984</v>
      </c>
      <c r="I23" s="35">
        <f t="shared" ca="1" si="8"/>
        <v>1.0305158849332534</v>
      </c>
      <c r="J23">
        <f t="shared" ca="1" si="9"/>
        <v>1040</v>
      </c>
      <c r="K23" s="30">
        <f t="shared" ca="1" si="10"/>
        <v>416</v>
      </c>
      <c r="L23" s="35">
        <f t="shared" ca="1" si="11"/>
        <v>1978.9794090955493</v>
      </c>
      <c r="M23" s="35">
        <f t="shared" ca="1" si="12"/>
        <v>1.9028648164380282</v>
      </c>
      <c r="N23" s="35">
        <f t="shared" ca="1" si="13"/>
        <v>4.7571620410950706</v>
      </c>
      <c r="O23" s="35">
        <f t="shared" ca="1" si="0"/>
        <v>93144.33395914502</v>
      </c>
    </row>
    <row r="24" spans="1:15" x14ac:dyDescent="0.15">
      <c r="A24" s="1">
        <v>43061</v>
      </c>
      <c r="B24">
        <f t="shared" ca="1" si="1"/>
        <v>1967</v>
      </c>
      <c r="C24" s="30">
        <f t="shared" ca="1" si="2"/>
        <v>393.40000000000003</v>
      </c>
      <c r="D24" s="35">
        <f t="shared" ca="1" si="3"/>
        <v>441.29724829840171</v>
      </c>
      <c r="E24" s="35">
        <f t="shared" ca="1" si="4"/>
        <v>0.22435040584565416</v>
      </c>
      <c r="F24" s="35">
        <f t="shared" ca="1" si="5"/>
        <v>1.1217520292282706</v>
      </c>
      <c r="G24">
        <f t="shared" ca="1" si="6"/>
        <v>163</v>
      </c>
      <c r="H24" s="35">
        <f t="shared" ca="1" si="7"/>
        <v>185.21084813482011</v>
      </c>
      <c r="I24" s="35">
        <f t="shared" ca="1" si="8"/>
        <v>1.1362628719927614</v>
      </c>
      <c r="J24">
        <f t="shared" ca="1" si="9"/>
        <v>1170</v>
      </c>
      <c r="K24" s="30">
        <f t="shared" ca="1" si="10"/>
        <v>468</v>
      </c>
      <c r="L24" s="35">
        <f t="shared" ca="1" si="11"/>
        <v>1983.7505342622358</v>
      </c>
      <c r="M24" s="35">
        <f t="shared" ca="1" si="12"/>
        <v>1.6955132771472101</v>
      </c>
      <c r="N24" s="35">
        <f t="shared" ca="1" si="13"/>
        <v>4.2387831928680253</v>
      </c>
      <c r="O24" s="35">
        <f t="shared" ca="1" si="0"/>
        <v>91165.354550049466</v>
      </c>
    </row>
    <row r="25" spans="1:15" x14ac:dyDescent="0.15">
      <c r="A25" s="1">
        <v>43060</v>
      </c>
      <c r="B25">
        <f t="shared" ca="1" si="1"/>
        <v>1980</v>
      </c>
      <c r="C25" s="30">
        <f t="shared" ca="1" si="2"/>
        <v>396</v>
      </c>
      <c r="D25" s="35">
        <f t="shared" ca="1" si="3"/>
        <v>423.52529701029152</v>
      </c>
      <c r="E25" s="35">
        <f t="shared" ca="1" si="4"/>
        <v>0.21390166515671288</v>
      </c>
      <c r="F25" s="35">
        <f t="shared" ca="1" si="5"/>
        <v>1.0695083257835645</v>
      </c>
      <c r="G25">
        <f t="shared" ca="1" si="6"/>
        <v>238</v>
      </c>
      <c r="H25" s="35">
        <f t="shared" ca="1" si="7"/>
        <v>269.34997697418981</v>
      </c>
      <c r="I25" s="35">
        <f t="shared" ca="1" si="8"/>
        <v>1.1317225923285286</v>
      </c>
      <c r="J25">
        <f t="shared" ca="1" si="9"/>
        <v>1191</v>
      </c>
      <c r="K25" s="30">
        <f t="shared" ca="1" si="10"/>
        <v>476.40000000000003</v>
      </c>
      <c r="L25" s="35">
        <f t="shared" ca="1" si="11"/>
        <v>1914.7202143652198</v>
      </c>
      <c r="M25" s="35">
        <f t="shared" ca="1" si="12"/>
        <v>1.6076576107180687</v>
      </c>
      <c r="N25" s="35">
        <f t="shared" ca="1" si="13"/>
        <v>4.0191440267951712</v>
      </c>
      <c r="O25" s="35">
        <f t="shared" ca="1" si="0"/>
        <v>89181.604015787234</v>
      </c>
    </row>
    <row r="26" spans="1:15" x14ac:dyDescent="0.15">
      <c r="A26" s="1">
        <v>43059</v>
      </c>
      <c r="B26">
        <f t="shared" ca="1" si="1"/>
        <v>1434</v>
      </c>
      <c r="C26" s="30">
        <f t="shared" ca="1" si="2"/>
        <v>286.8</v>
      </c>
      <c r="D26" s="35">
        <f t="shared" ca="1" si="3"/>
        <v>317.812293607539</v>
      </c>
      <c r="E26" s="35">
        <f t="shared" ca="1" si="4"/>
        <v>0.22162642510985983</v>
      </c>
      <c r="F26" s="35">
        <f t="shared" ca="1" si="5"/>
        <v>1.1081321255492991</v>
      </c>
      <c r="G26">
        <f t="shared" ca="1" si="6"/>
        <v>202</v>
      </c>
      <c r="H26" s="35">
        <f t="shared" ca="1" si="7"/>
        <v>230.15285476603933</v>
      </c>
      <c r="I26" s="35">
        <f t="shared" ca="1" si="8"/>
        <v>1.1393705681487096</v>
      </c>
      <c r="J26">
        <f t="shared" ca="1" si="9"/>
        <v>1144</v>
      </c>
      <c r="K26" s="30">
        <f t="shared" ca="1" si="10"/>
        <v>457.6</v>
      </c>
      <c r="L26" s="35">
        <f t="shared" ca="1" si="11"/>
        <v>1970.4362896116545</v>
      </c>
      <c r="M26" s="35">
        <f t="shared" ca="1" si="12"/>
        <v>1.7224093440661317</v>
      </c>
      <c r="N26" s="35">
        <f t="shared" ca="1" si="13"/>
        <v>4.3060233601653284</v>
      </c>
      <c r="O26" s="35">
        <f t="shared" ca="1" si="0"/>
        <v>87266.883801422009</v>
      </c>
    </row>
    <row r="27" spans="1:15" x14ac:dyDescent="0.15">
      <c r="A27" s="1">
        <v>43058</v>
      </c>
      <c r="B27">
        <f t="shared" ca="1" si="1"/>
        <v>1647</v>
      </c>
      <c r="C27" s="30">
        <f t="shared" ca="1" si="2"/>
        <v>329.40000000000003</v>
      </c>
      <c r="D27" s="35">
        <f t="shared" ca="1" si="3"/>
        <v>355.06852185956097</v>
      </c>
      <c r="E27" s="35">
        <f t="shared" ca="1" si="4"/>
        <v>0.21558501630817303</v>
      </c>
      <c r="F27" s="35">
        <f t="shared" ca="1" si="5"/>
        <v>1.077925081540865</v>
      </c>
      <c r="G27">
        <f t="shared" ca="1" si="6"/>
        <v>235</v>
      </c>
      <c r="H27" s="35">
        <f t="shared" ca="1" si="7"/>
        <v>235.83330860610673</v>
      </c>
      <c r="I27" s="35">
        <f t="shared" ca="1" si="8"/>
        <v>1.0035459940685392</v>
      </c>
      <c r="J27">
        <f t="shared" ca="1" si="9"/>
        <v>1172</v>
      </c>
      <c r="K27" s="30">
        <f t="shared" ca="1" si="10"/>
        <v>468.8</v>
      </c>
      <c r="L27" s="35">
        <f t="shared" ca="1" si="11"/>
        <v>2420.5389246666846</v>
      </c>
      <c r="M27" s="35">
        <f t="shared" ca="1" si="12"/>
        <v>2.0653062497156012</v>
      </c>
      <c r="N27" s="35">
        <f t="shared" ca="1" si="13"/>
        <v>5.1632656242890027</v>
      </c>
      <c r="O27" s="35">
        <f t="shared" ca="1" si="0"/>
        <v>85296.447511810358</v>
      </c>
    </row>
    <row r="28" spans="1:15" x14ac:dyDescent="0.15">
      <c r="A28" s="1">
        <v>43057</v>
      </c>
      <c r="B28">
        <f t="shared" ca="1" si="1"/>
        <v>1948</v>
      </c>
      <c r="C28" s="30">
        <f t="shared" ca="1" si="2"/>
        <v>389.6</v>
      </c>
      <c r="D28" s="35">
        <f t="shared" ca="1" si="3"/>
        <v>431.04755923509725</v>
      </c>
      <c r="E28" s="35">
        <f t="shared" ca="1" si="4"/>
        <v>0.22127698112684663</v>
      </c>
      <c r="F28" s="35">
        <f t="shared" ca="1" si="5"/>
        <v>1.1063849056342332</v>
      </c>
      <c r="G28">
        <f t="shared" ca="1" si="6"/>
        <v>250</v>
      </c>
      <c r="H28" s="35">
        <f t="shared" ca="1" si="7"/>
        <v>281.79369535007243</v>
      </c>
      <c r="I28" s="35">
        <f t="shared" ca="1" si="8"/>
        <v>1.1271747814002897</v>
      </c>
      <c r="J28">
        <f t="shared" ca="1" si="9"/>
        <v>1028</v>
      </c>
      <c r="K28" s="30">
        <f t="shared" ca="1" si="10"/>
        <v>411.20000000000005</v>
      </c>
      <c r="L28" s="35">
        <f t="shared" ca="1" si="11"/>
        <v>2121.3067872903794</v>
      </c>
      <c r="M28" s="35">
        <f t="shared" ca="1" si="12"/>
        <v>2.0635280032007581</v>
      </c>
      <c r="N28" s="35">
        <f t="shared" ca="1" si="13"/>
        <v>5.1588200080018947</v>
      </c>
      <c r="O28" s="35">
        <f t="shared" ca="1" si="0"/>
        <v>82875.908587143669</v>
      </c>
    </row>
    <row r="29" spans="1:15" x14ac:dyDescent="0.15">
      <c r="A29" s="1">
        <v>43056</v>
      </c>
      <c r="B29">
        <f t="shared" ca="1" si="1"/>
        <v>1856</v>
      </c>
      <c r="C29" s="30">
        <f t="shared" ca="1" si="2"/>
        <v>371.20000000000005</v>
      </c>
      <c r="D29" s="35">
        <f t="shared" ca="1" si="3"/>
        <v>403.55388985444665</v>
      </c>
      <c r="E29" s="35">
        <f t="shared" ca="1" si="4"/>
        <v>0.21743205272330099</v>
      </c>
      <c r="F29" s="35">
        <f t="shared" ca="1" si="5"/>
        <v>1.0871602636165048</v>
      </c>
      <c r="G29">
        <f t="shared" ca="1" si="6"/>
        <v>210</v>
      </c>
      <c r="H29" s="35">
        <f t="shared" ca="1" si="7"/>
        <v>240.12362638174932</v>
      </c>
      <c r="I29" s="35">
        <f t="shared" ca="1" si="8"/>
        <v>1.143445839913092</v>
      </c>
      <c r="J29">
        <f t="shared" ca="1" si="9"/>
        <v>1062</v>
      </c>
      <c r="K29" s="30">
        <f t="shared" ca="1" si="10"/>
        <v>424.8</v>
      </c>
      <c r="L29" s="35">
        <f t="shared" ca="1" si="11"/>
        <v>1778.5677260436958</v>
      </c>
      <c r="M29" s="35">
        <f t="shared" ca="1" si="12"/>
        <v>1.6747342053142145</v>
      </c>
      <c r="N29" s="35">
        <f t="shared" ca="1" si="13"/>
        <v>4.1868355132855362</v>
      </c>
      <c r="O29" s="35">
        <f t="shared" ca="1" si="0"/>
        <v>80754.601799853292</v>
      </c>
    </row>
    <row r="30" spans="1:15" x14ac:dyDescent="0.15">
      <c r="A30" s="1">
        <v>43055</v>
      </c>
      <c r="B30">
        <f t="shared" ca="1" si="1"/>
        <v>1342</v>
      </c>
      <c r="C30" s="30">
        <f t="shared" ca="1" si="2"/>
        <v>268.40000000000003</v>
      </c>
      <c r="D30" s="35">
        <f t="shared" ca="1" si="3"/>
        <v>278.35437690457383</v>
      </c>
      <c r="E30" s="35">
        <f t="shared" ca="1" si="4"/>
        <v>0.20741756848328899</v>
      </c>
      <c r="F30" s="35">
        <f t="shared" ca="1" si="5"/>
        <v>1.0370878424164449</v>
      </c>
      <c r="G30">
        <f t="shared" ca="1" si="6"/>
        <v>196</v>
      </c>
      <c r="H30" s="35">
        <f t="shared" ca="1" si="7"/>
        <v>232.89104063519633</v>
      </c>
      <c r="I30" s="35">
        <f t="shared" ca="1" si="8"/>
        <v>1.1882195950775323</v>
      </c>
      <c r="J30">
        <f t="shared" ca="1" si="9"/>
        <v>1082</v>
      </c>
      <c r="K30" s="30">
        <f t="shared" ca="1" si="10"/>
        <v>432.8</v>
      </c>
      <c r="L30" s="35">
        <f t="shared" ca="1" si="11"/>
        <v>1661.1002893477796</v>
      </c>
      <c r="M30" s="35">
        <f t="shared" ca="1" si="12"/>
        <v>1.5352128367354709</v>
      </c>
      <c r="N30" s="35">
        <f t="shared" ca="1" si="13"/>
        <v>3.8380320918386772</v>
      </c>
      <c r="O30" s="35">
        <f t="shared" ca="1" si="0"/>
        <v>78976.034073809598</v>
      </c>
    </row>
    <row r="31" spans="1:15" x14ac:dyDescent="0.15">
      <c r="A31" s="1">
        <v>43054</v>
      </c>
      <c r="B31">
        <f t="shared" ca="1" si="1"/>
        <v>1953</v>
      </c>
      <c r="C31" s="30">
        <f t="shared" ca="1" si="2"/>
        <v>390.6</v>
      </c>
      <c r="D31" s="35">
        <f t="shared" ca="1" si="3"/>
        <v>430.20299603797628</v>
      </c>
      <c r="E31" s="35">
        <f t="shared" ca="1" si="4"/>
        <v>0.22027803176547683</v>
      </c>
      <c r="F31" s="35">
        <f t="shared" ca="1" si="5"/>
        <v>1.1013901588273842</v>
      </c>
      <c r="G31">
        <f t="shared" ca="1" si="6"/>
        <v>238</v>
      </c>
      <c r="H31" s="35">
        <f t="shared" ca="1" si="7"/>
        <v>277.76373339792207</v>
      </c>
      <c r="I31" s="35">
        <f t="shared" ca="1" si="8"/>
        <v>1.1670745100753028</v>
      </c>
      <c r="J31">
        <f t="shared" ca="1" si="9"/>
        <v>1070</v>
      </c>
      <c r="K31" s="30">
        <f t="shared" ca="1" si="10"/>
        <v>428</v>
      </c>
      <c r="L31" s="35">
        <f t="shared" ca="1" si="11"/>
        <v>2060.4659605497159</v>
      </c>
      <c r="M31" s="35">
        <f t="shared" ca="1" si="12"/>
        <v>1.9256691220090802</v>
      </c>
      <c r="N31" s="35">
        <f t="shared" ca="1" si="13"/>
        <v>4.8141728050227011</v>
      </c>
      <c r="O31" s="35">
        <f t="shared" ca="1" si="0"/>
        <v>77314.933784461813</v>
      </c>
    </row>
    <row r="32" spans="1:15" x14ac:dyDescent="0.15">
      <c r="A32" s="1">
        <v>43053</v>
      </c>
      <c r="B32">
        <f t="shared" ca="1" si="1"/>
        <v>1888</v>
      </c>
      <c r="C32" s="30">
        <f t="shared" ca="1" si="2"/>
        <v>377.6</v>
      </c>
      <c r="D32" s="35">
        <f t="shared" ca="1" si="3"/>
        <v>387.20702371794778</v>
      </c>
      <c r="E32" s="35">
        <f t="shared" ca="1" si="4"/>
        <v>0.20508846595230285</v>
      </c>
      <c r="F32" s="35">
        <f t="shared" ca="1" si="5"/>
        <v>1.0254423297615143</v>
      </c>
      <c r="G32">
        <f t="shared" ca="1" si="6"/>
        <v>195</v>
      </c>
      <c r="H32" s="35">
        <f t="shared" ca="1" si="7"/>
        <v>222.28439895914047</v>
      </c>
      <c r="I32" s="35">
        <f t="shared" ca="1" si="8"/>
        <v>1.1399199946622589</v>
      </c>
      <c r="J32">
        <f t="shared" ca="1" si="9"/>
        <v>1008</v>
      </c>
      <c r="K32" s="30">
        <f t="shared" ca="1" si="10"/>
        <v>403.20000000000005</v>
      </c>
      <c r="L32" s="35">
        <f t="shared" ca="1" si="11"/>
        <v>2279.5861972158982</v>
      </c>
      <c r="M32" s="35">
        <f t="shared" ca="1" si="12"/>
        <v>2.2614942432697402</v>
      </c>
      <c r="N32" s="35">
        <f t="shared" ca="1" si="13"/>
        <v>5.6537356081743502</v>
      </c>
      <c r="O32" s="35">
        <f t="shared" ca="1" si="0"/>
        <v>75254.467823912099</v>
      </c>
    </row>
    <row r="33" spans="1:15" x14ac:dyDescent="0.15">
      <c r="A33" s="1">
        <v>43052</v>
      </c>
      <c r="B33">
        <f t="shared" ca="1" si="1"/>
        <v>1265</v>
      </c>
      <c r="C33" s="30">
        <f t="shared" ca="1" si="2"/>
        <v>253</v>
      </c>
      <c r="D33" s="35">
        <f t="shared" ca="1" si="3"/>
        <v>272.11607437796556</v>
      </c>
      <c r="E33" s="35">
        <f t="shared" ca="1" si="4"/>
        <v>0.2151115212474036</v>
      </c>
      <c r="F33" s="35">
        <f t="shared" ca="1" si="5"/>
        <v>1.075557606237018</v>
      </c>
      <c r="G33">
        <f t="shared" ca="1" si="6"/>
        <v>150</v>
      </c>
      <c r="H33" s="35">
        <f t="shared" ca="1" si="7"/>
        <v>191.9086995445503</v>
      </c>
      <c r="I33" s="35">
        <f t="shared" ca="1" si="8"/>
        <v>1.2793913302970019</v>
      </c>
      <c r="J33">
        <f t="shared" ca="1" si="9"/>
        <v>1133</v>
      </c>
      <c r="K33" s="30">
        <f t="shared" ca="1" si="10"/>
        <v>453.20000000000005</v>
      </c>
      <c r="L33" s="35">
        <f t="shared" ca="1" si="11"/>
        <v>2265.4585572986143</v>
      </c>
      <c r="M33" s="35">
        <f t="shared" ca="1" si="12"/>
        <v>1.9995221158858025</v>
      </c>
      <c r="N33" s="35">
        <f t="shared" ca="1" si="13"/>
        <v>4.9988052897145057</v>
      </c>
      <c r="O33" s="35">
        <f t="shared" ca="1" si="0"/>
        <v>72974.881626696195</v>
      </c>
    </row>
    <row r="34" spans="1:15" x14ac:dyDescent="0.15">
      <c r="A34" s="1">
        <v>43051</v>
      </c>
      <c r="B34">
        <f t="shared" ca="1" si="1"/>
        <v>1060</v>
      </c>
      <c r="C34" s="30">
        <f t="shared" ca="1" si="2"/>
        <v>212</v>
      </c>
      <c r="D34" s="35">
        <f t="shared" ca="1" si="3"/>
        <v>222.0558064453443</v>
      </c>
      <c r="E34" s="35">
        <f t="shared" ca="1" si="4"/>
        <v>0.20948660985409839</v>
      </c>
      <c r="F34" s="35">
        <f t="shared" ca="1" si="5"/>
        <v>1.047433049270492</v>
      </c>
      <c r="G34">
        <f t="shared" ca="1" si="6"/>
        <v>162</v>
      </c>
      <c r="H34" s="35">
        <f t="shared" ca="1" si="7"/>
        <v>209.80098001671738</v>
      </c>
      <c r="I34" s="35">
        <f t="shared" ca="1" si="8"/>
        <v>1.2950677778809714</v>
      </c>
      <c r="J34">
        <f t="shared" ca="1" si="9"/>
        <v>1114</v>
      </c>
      <c r="K34" s="30">
        <f t="shared" ca="1" si="10"/>
        <v>445.6</v>
      </c>
      <c r="L34" s="35">
        <f t="shared" ca="1" si="11"/>
        <v>1802.7288815507002</v>
      </c>
      <c r="M34" s="35">
        <f t="shared" ca="1" si="12"/>
        <v>1.6182485471729804</v>
      </c>
      <c r="N34" s="35">
        <f t="shared" ca="1" si="13"/>
        <v>4.0456213679324504</v>
      </c>
      <c r="O34" s="35">
        <f t="shared" ca="1" si="0"/>
        <v>70709.423069397584</v>
      </c>
    </row>
    <row r="35" spans="1:15" x14ac:dyDescent="0.15">
      <c r="A35" s="1">
        <v>43050</v>
      </c>
      <c r="B35">
        <f t="shared" ca="1" si="1"/>
        <v>1410</v>
      </c>
      <c r="C35" s="30">
        <f t="shared" ca="1" si="2"/>
        <v>282</v>
      </c>
      <c r="D35" s="35">
        <f t="shared" ca="1" si="3"/>
        <v>325.09415360985349</v>
      </c>
      <c r="E35" s="35">
        <f t="shared" ca="1" si="4"/>
        <v>0.2305632295105344</v>
      </c>
      <c r="F35" s="35">
        <f t="shared" ca="1" si="5"/>
        <v>1.1528161475526719</v>
      </c>
      <c r="G35">
        <f t="shared" ca="1" si="6"/>
        <v>187</v>
      </c>
      <c r="H35" s="35">
        <f t="shared" ca="1" si="7"/>
        <v>211.31563002119199</v>
      </c>
      <c r="I35" s="35">
        <f t="shared" ca="1" si="8"/>
        <v>1.1300301070651979</v>
      </c>
      <c r="J35">
        <f t="shared" ca="1" si="9"/>
        <v>1186</v>
      </c>
      <c r="K35" s="30">
        <f t="shared" ca="1" si="10"/>
        <v>474.40000000000003</v>
      </c>
      <c r="L35" s="35">
        <f t="shared" ca="1" si="11"/>
        <v>1784.7329905174104</v>
      </c>
      <c r="M35" s="35">
        <f t="shared" ca="1" si="12"/>
        <v>1.5048338874514422</v>
      </c>
      <c r="N35" s="35">
        <f t="shared" ca="1" si="13"/>
        <v>3.7620847186286053</v>
      </c>
      <c r="O35" s="35">
        <f t="shared" ca="1" si="0"/>
        <v>68906.694187846879</v>
      </c>
    </row>
    <row r="36" spans="1:15" x14ac:dyDescent="0.15">
      <c r="A36" s="1">
        <v>43049</v>
      </c>
      <c r="B36">
        <f t="shared" ca="1" si="1"/>
        <v>1591</v>
      </c>
      <c r="C36" s="30">
        <f t="shared" ca="1" si="2"/>
        <v>318.20000000000005</v>
      </c>
      <c r="D36" s="35">
        <f t="shared" ca="1" si="3"/>
        <v>351.90139869070015</v>
      </c>
      <c r="E36" s="35">
        <f t="shared" ca="1" si="4"/>
        <v>0.22118252588981782</v>
      </c>
      <c r="F36" s="35">
        <f t="shared" ca="1" si="5"/>
        <v>1.1059126294490889</v>
      </c>
      <c r="G36">
        <f t="shared" ca="1" si="6"/>
        <v>192</v>
      </c>
      <c r="H36" s="35">
        <f t="shared" ca="1" si="7"/>
        <v>193.73113864844353</v>
      </c>
      <c r="I36" s="35">
        <f t="shared" ca="1" si="8"/>
        <v>1.0090163471273101</v>
      </c>
      <c r="J36">
        <f t="shared" ca="1" si="9"/>
        <v>1069</v>
      </c>
      <c r="K36" s="30">
        <f t="shared" ca="1" si="10"/>
        <v>427.6</v>
      </c>
      <c r="L36" s="35">
        <f t="shared" ca="1" si="11"/>
        <v>2078.9069946018562</v>
      </c>
      <c r="M36" s="35">
        <f t="shared" ca="1" si="12"/>
        <v>1.9447212297491638</v>
      </c>
      <c r="N36" s="35">
        <f t="shared" ca="1" si="13"/>
        <v>4.8618030743729097</v>
      </c>
      <c r="O36" s="35">
        <f t="shared" ca="1" si="0"/>
        <v>67121.961197329467</v>
      </c>
    </row>
    <row r="37" spans="1:15" x14ac:dyDescent="0.15">
      <c r="A37" s="1">
        <v>43048</v>
      </c>
      <c r="B37">
        <f t="shared" ca="1" si="1"/>
        <v>1352</v>
      </c>
      <c r="C37" s="30">
        <f t="shared" ca="1" si="2"/>
        <v>270.40000000000003</v>
      </c>
      <c r="D37" s="35">
        <f t="shared" ca="1" si="3"/>
        <v>274.18566340164404</v>
      </c>
      <c r="E37" s="35">
        <f t="shared" ca="1" si="4"/>
        <v>0.20280004689470713</v>
      </c>
      <c r="F37" s="35">
        <f t="shared" ca="1" si="5"/>
        <v>1.0140002344735355</v>
      </c>
      <c r="G37">
        <f t="shared" ca="1" si="6"/>
        <v>247</v>
      </c>
      <c r="H37" s="35">
        <f t="shared" ca="1" si="7"/>
        <v>288.26595279250068</v>
      </c>
      <c r="I37" s="35">
        <f t="shared" ca="1" si="8"/>
        <v>1.1670686347874522</v>
      </c>
      <c r="J37">
        <f t="shared" ca="1" si="9"/>
        <v>1139</v>
      </c>
      <c r="K37" s="30">
        <f t="shared" ca="1" si="10"/>
        <v>455.6</v>
      </c>
      <c r="L37" s="35">
        <f t="shared" ca="1" si="11"/>
        <v>2158.8914401137495</v>
      </c>
      <c r="M37" s="35">
        <f t="shared" ca="1" si="12"/>
        <v>1.8954270764826597</v>
      </c>
      <c r="N37" s="35">
        <f t="shared" ca="1" si="13"/>
        <v>4.738567691206649</v>
      </c>
      <c r="O37" s="35">
        <f t="shared" ca="1" si="0"/>
        <v>65043.05420272761</v>
      </c>
    </row>
    <row r="38" spans="1:15" x14ac:dyDescent="0.15">
      <c r="A38" s="1">
        <v>43047</v>
      </c>
      <c r="B38">
        <f t="shared" ca="1" si="1"/>
        <v>1050</v>
      </c>
      <c r="C38" s="30">
        <f t="shared" ca="1" si="2"/>
        <v>210</v>
      </c>
      <c r="D38" s="35">
        <f t="shared" ca="1" si="3"/>
        <v>246.98314787321377</v>
      </c>
      <c r="E38" s="35">
        <f t="shared" ca="1" si="4"/>
        <v>0.23522204559353693</v>
      </c>
      <c r="F38" s="35">
        <f t="shared" ca="1" si="5"/>
        <v>1.1761102279676845</v>
      </c>
      <c r="G38">
        <f t="shared" ca="1" si="6"/>
        <v>240</v>
      </c>
      <c r="H38" s="35">
        <f t="shared" ca="1" si="7"/>
        <v>272.08983491418496</v>
      </c>
      <c r="I38" s="35">
        <f t="shared" ca="1" si="8"/>
        <v>1.1337076454757706</v>
      </c>
      <c r="J38">
        <f t="shared" ca="1" si="9"/>
        <v>1091</v>
      </c>
      <c r="K38" s="30">
        <f t="shared" ca="1" si="10"/>
        <v>436.40000000000003</v>
      </c>
      <c r="L38" s="35">
        <f t="shared" ca="1" si="11"/>
        <v>2270.4246522305516</v>
      </c>
      <c r="M38" s="35">
        <f t="shared" ca="1" si="12"/>
        <v>2.081049177113246</v>
      </c>
      <c r="N38" s="35">
        <f t="shared" ca="1" si="13"/>
        <v>5.2026229427831154</v>
      </c>
      <c r="O38" s="35">
        <f t="shared" ca="1" si="0"/>
        <v>62884.162762613858</v>
      </c>
    </row>
    <row r="39" spans="1:15" x14ac:dyDescent="0.15">
      <c r="A39" s="1">
        <v>43046</v>
      </c>
      <c r="B39">
        <f t="shared" ca="1" si="1"/>
        <v>1897</v>
      </c>
      <c r="C39" s="30">
        <f t="shared" ca="1" si="2"/>
        <v>379.40000000000003</v>
      </c>
      <c r="D39" s="35">
        <f t="shared" ca="1" si="3"/>
        <v>382.45870524768316</v>
      </c>
      <c r="E39" s="35">
        <f t="shared" ca="1" si="4"/>
        <v>0.20161239074732903</v>
      </c>
      <c r="F39" s="35">
        <f t="shared" ca="1" si="5"/>
        <v>1.0080619537366451</v>
      </c>
      <c r="G39">
        <f t="shared" ca="1" si="6"/>
        <v>192</v>
      </c>
      <c r="H39" s="35">
        <f t="shared" ca="1" si="7"/>
        <v>197.42673974440385</v>
      </c>
      <c r="I39" s="35">
        <f t="shared" ca="1" si="8"/>
        <v>1.0282642695021034</v>
      </c>
      <c r="J39">
        <f t="shared" ca="1" si="9"/>
        <v>1143</v>
      </c>
      <c r="K39" s="30">
        <f t="shared" ca="1" si="10"/>
        <v>457.20000000000005</v>
      </c>
      <c r="L39" s="35">
        <f t="shared" ca="1" si="11"/>
        <v>2461.2391536094233</v>
      </c>
      <c r="M39" s="35">
        <f t="shared" ca="1" si="12"/>
        <v>2.1533150950213678</v>
      </c>
      <c r="N39" s="35">
        <f t="shared" ca="1" si="13"/>
        <v>5.3832877375534185</v>
      </c>
      <c r="O39" s="35">
        <f t="shared" ca="1" si="0"/>
        <v>60613.738110383303</v>
      </c>
    </row>
    <row r="40" spans="1:15" x14ac:dyDescent="0.15">
      <c r="A40" s="1">
        <v>43045</v>
      </c>
      <c r="B40">
        <f t="shared" ca="1" si="1"/>
        <v>1472</v>
      </c>
      <c r="C40" s="30">
        <f t="shared" ca="1" si="2"/>
        <v>294.40000000000003</v>
      </c>
      <c r="D40" s="35">
        <f t="shared" ca="1" si="3"/>
        <v>302.48136993207663</v>
      </c>
      <c r="E40" s="35">
        <f t="shared" ca="1" si="4"/>
        <v>0.20549006109516074</v>
      </c>
      <c r="F40" s="35">
        <f t="shared" ca="1" si="5"/>
        <v>1.0274503054758037</v>
      </c>
      <c r="G40">
        <f t="shared" ca="1" si="6"/>
        <v>242</v>
      </c>
      <c r="H40" s="35">
        <f t="shared" ca="1" si="7"/>
        <v>257.84930598042132</v>
      </c>
      <c r="I40" s="35">
        <f t="shared" ca="1" si="8"/>
        <v>1.0654929999190963</v>
      </c>
      <c r="J40">
        <f t="shared" ca="1" si="9"/>
        <v>1178</v>
      </c>
      <c r="K40" s="30">
        <f t="shared" ca="1" si="10"/>
        <v>471.20000000000005</v>
      </c>
      <c r="L40" s="35">
        <f t="shared" ca="1" si="11"/>
        <v>1594.5886564028233</v>
      </c>
      <c r="M40" s="35">
        <f t="shared" ca="1" si="12"/>
        <v>1.353640625129731</v>
      </c>
      <c r="N40" s="35">
        <f t="shared" ca="1" si="13"/>
        <v>3.3841015628243274</v>
      </c>
      <c r="O40" s="35">
        <f t="shared" ca="1" si="0"/>
        <v>58152.498956773881</v>
      </c>
    </row>
    <row r="41" spans="1:15" x14ac:dyDescent="0.15">
      <c r="A41" s="1">
        <v>43044</v>
      </c>
      <c r="B41">
        <f t="shared" ca="1" si="1"/>
        <v>1140</v>
      </c>
      <c r="C41" s="30">
        <f t="shared" ca="1" si="2"/>
        <v>228</v>
      </c>
      <c r="D41" s="35">
        <f t="shared" ca="1" si="3"/>
        <v>252.08723070971013</v>
      </c>
      <c r="E41" s="35">
        <f t="shared" ca="1" si="4"/>
        <v>0.22112914974535977</v>
      </c>
      <c r="F41" s="35">
        <f t="shared" ca="1" si="5"/>
        <v>1.1056457487267988</v>
      </c>
      <c r="G41">
        <f t="shared" ca="1" si="6"/>
        <v>194</v>
      </c>
      <c r="H41" s="35">
        <f t="shared" ca="1" si="7"/>
        <v>230.68197093218799</v>
      </c>
      <c r="I41" s="35">
        <f t="shared" ca="1" si="8"/>
        <v>1.1890823243927215</v>
      </c>
      <c r="J41">
        <f t="shared" ca="1" si="9"/>
        <v>1131</v>
      </c>
      <c r="K41" s="30">
        <f t="shared" ca="1" si="10"/>
        <v>452.40000000000003</v>
      </c>
      <c r="L41" s="35">
        <f t="shared" ca="1" si="11"/>
        <v>1651.9092729750801</v>
      </c>
      <c r="M41" s="35">
        <f t="shared" ca="1" si="12"/>
        <v>1.460574069827657</v>
      </c>
      <c r="N41" s="35">
        <f t="shared" ca="1" si="13"/>
        <v>3.651435174569142</v>
      </c>
      <c r="O41" s="35">
        <f t="shared" ca="1" si="0"/>
        <v>56557.910300371055</v>
      </c>
    </row>
    <row r="42" spans="1:15" x14ac:dyDescent="0.15">
      <c r="A42" s="1">
        <v>43043</v>
      </c>
      <c r="B42">
        <f t="shared" ca="1" si="1"/>
        <v>1330</v>
      </c>
      <c r="C42" s="30">
        <f t="shared" ca="1" si="2"/>
        <v>266</v>
      </c>
      <c r="D42" s="35">
        <f t="shared" ca="1" si="3"/>
        <v>276.38085762551623</v>
      </c>
      <c r="E42" s="35">
        <f t="shared" ca="1" si="4"/>
        <v>0.20780515610941069</v>
      </c>
      <c r="F42" s="35">
        <f t="shared" ca="1" si="5"/>
        <v>1.0390257805470535</v>
      </c>
      <c r="G42">
        <f t="shared" ca="1" si="6"/>
        <v>250</v>
      </c>
      <c r="H42" s="35">
        <f t="shared" ca="1" si="7"/>
        <v>288.99971510890845</v>
      </c>
      <c r="I42" s="35">
        <f t="shared" ca="1" si="8"/>
        <v>1.1559988604356337</v>
      </c>
      <c r="J42">
        <f t="shared" ca="1" si="9"/>
        <v>1150</v>
      </c>
      <c r="K42" s="30">
        <f t="shared" ca="1" si="10"/>
        <v>460</v>
      </c>
      <c r="L42" s="35">
        <f t="shared" ca="1" si="11"/>
        <v>1722.7867081466529</v>
      </c>
      <c r="M42" s="35">
        <f t="shared" ca="1" si="12"/>
        <v>1.4980753983883939</v>
      </c>
      <c r="N42" s="35">
        <f t="shared" ca="1" si="13"/>
        <v>3.7451884959709845</v>
      </c>
      <c r="O42" s="35">
        <f t="shared" ca="1" si="0"/>
        <v>54906.001027395978</v>
      </c>
    </row>
    <row r="43" spans="1:15" x14ac:dyDescent="0.15">
      <c r="A43" s="1">
        <v>43042</v>
      </c>
      <c r="B43">
        <f t="shared" ca="1" si="1"/>
        <v>1342</v>
      </c>
      <c r="C43" s="30">
        <f t="shared" ca="1" si="2"/>
        <v>268.40000000000003</v>
      </c>
      <c r="D43" s="35">
        <f t="shared" ca="1" si="3"/>
        <v>306.36174201521243</v>
      </c>
      <c r="E43" s="35">
        <f t="shared" ca="1" si="4"/>
        <v>0.22828743816334757</v>
      </c>
      <c r="F43" s="35">
        <f t="shared" ca="1" si="5"/>
        <v>1.1414371908167376</v>
      </c>
      <c r="G43">
        <f t="shared" ca="1" si="6"/>
        <v>154</v>
      </c>
      <c r="H43" s="35">
        <f t="shared" ca="1" si="7"/>
        <v>194.58926690156923</v>
      </c>
      <c r="I43" s="35">
        <f t="shared" ca="1" si="8"/>
        <v>1.2635666681920079</v>
      </c>
      <c r="J43">
        <f t="shared" ca="1" si="9"/>
        <v>1036</v>
      </c>
      <c r="K43" s="30">
        <f t="shared" ca="1" si="10"/>
        <v>414.40000000000003</v>
      </c>
      <c r="L43" s="35">
        <f t="shared" ca="1" si="11"/>
        <v>2068.6093908575149</v>
      </c>
      <c r="M43" s="35">
        <f t="shared" ca="1" si="12"/>
        <v>1.9967272112524275</v>
      </c>
      <c r="N43" s="35">
        <f t="shared" ca="1" si="13"/>
        <v>4.9918180281310685</v>
      </c>
      <c r="O43" s="35">
        <f t="shared" ca="1" si="0"/>
        <v>53183.214319249324</v>
      </c>
    </row>
    <row r="44" spans="1:15" x14ac:dyDescent="0.15">
      <c r="A44" s="1">
        <v>43041</v>
      </c>
      <c r="B44">
        <f t="shared" ca="1" si="1"/>
        <v>1199</v>
      </c>
      <c r="C44" s="30">
        <f t="shared" ca="1" si="2"/>
        <v>239.8</v>
      </c>
      <c r="D44" s="35">
        <f t="shared" ca="1" si="3"/>
        <v>263.44603604559103</v>
      </c>
      <c r="E44" s="35">
        <f t="shared" ca="1" si="4"/>
        <v>0.21972146459181904</v>
      </c>
      <c r="F44" s="35">
        <f t="shared" ca="1" si="5"/>
        <v>1.0986073229590951</v>
      </c>
      <c r="G44">
        <f t="shared" ca="1" si="6"/>
        <v>175</v>
      </c>
      <c r="H44" s="35">
        <f t="shared" ca="1" si="7"/>
        <v>219.12552895143335</v>
      </c>
      <c r="I44" s="35">
        <f t="shared" ca="1" si="8"/>
        <v>1.2521458797224763</v>
      </c>
      <c r="J44">
        <f t="shared" ca="1" si="9"/>
        <v>1003</v>
      </c>
      <c r="K44" s="30">
        <f t="shared" ca="1" si="10"/>
        <v>401.20000000000005</v>
      </c>
      <c r="L44" s="35">
        <f t="shared" ca="1" si="11"/>
        <v>2032.9868553490489</v>
      </c>
      <c r="M44" s="35">
        <f t="shared" ca="1" si="12"/>
        <v>2.0269061369382344</v>
      </c>
      <c r="N44" s="35">
        <f t="shared" ca="1" si="13"/>
        <v>5.0672653423455847</v>
      </c>
      <c r="O44" s="35">
        <f t="shared" ca="1" si="0"/>
        <v>51114.604928391811</v>
      </c>
    </row>
    <row r="45" spans="1:15" x14ac:dyDescent="0.15">
      <c r="A45" s="1">
        <v>43040</v>
      </c>
      <c r="B45">
        <f t="shared" ca="1" si="1"/>
        <v>1700</v>
      </c>
      <c r="C45" s="30">
        <f t="shared" ca="1" si="2"/>
        <v>340</v>
      </c>
      <c r="D45" s="35">
        <f t="shared" ca="1" si="3"/>
        <v>371.61550607953166</v>
      </c>
      <c r="E45" s="35">
        <f t="shared" ca="1" si="4"/>
        <v>0.21859735651737155</v>
      </c>
      <c r="F45" s="35">
        <f t="shared" ca="1" si="5"/>
        <v>1.0929867825868578</v>
      </c>
      <c r="G45">
        <f t="shared" ca="1" si="6"/>
        <v>232</v>
      </c>
      <c r="H45" s="35">
        <f t="shared" ca="1" si="7"/>
        <v>243.55824473111426</v>
      </c>
      <c r="I45" s="35">
        <f t="shared" ca="1" si="8"/>
        <v>1.0498200203927339</v>
      </c>
      <c r="J45">
        <f t="shared" ca="1" si="9"/>
        <v>1041</v>
      </c>
      <c r="K45" s="30">
        <f t="shared" ca="1" si="10"/>
        <v>416.40000000000003</v>
      </c>
      <c r="L45" s="35">
        <f t="shared" ca="1" si="11"/>
        <v>1522.54569916952</v>
      </c>
      <c r="M45" s="35">
        <f t="shared" ca="1" si="12"/>
        <v>1.4625799223530451</v>
      </c>
      <c r="N45" s="35">
        <f t="shared" ca="1" si="13"/>
        <v>3.6564498058826125</v>
      </c>
      <c r="O45" s="35">
        <f t="shared" ca="1" si="0"/>
        <v>49081.618073042759</v>
      </c>
    </row>
    <row r="46" spans="1:15" x14ac:dyDescent="0.15">
      <c r="A46" s="1">
        <v>43039</v>
      </c>
      <c r="B46">
        <f t="shared" ca="1" si="1"/>
        <v>1027</v>
      </c>
      <c r="C46" s="30">
        <f t="shared" ca="1" si="2"/>
        <v>205.4</v>
      </c>
      <c r="D46" s="35">
        <f t="shared" ca="1" si="3"/>
        <v>224.4698899729257</v>
      </c>
      <c r="E46" s="35">
        <f t="shared" ca="1" si="4"/>
        <v>0.21856853940888579</v>
      </c>
      <c r="F46" s="35">
        <f t="shared" ca="1" si="5"/>
        <v>1.0928426970444289</v>
      </c>
      <c r="G46">
        <f t="shared" ca="1" si="6"/>
        <v>215</v>
      </c>
      <c r="H46" s="35">
        <f t="shared" ca="1" si="7"/>
        <v>236.85153994317247</v>
      </c>
      <c r="I46" s="35">
        <f t="shared" ca="1" si="8"/>
        <v>1.1016350695031278</v>
      </c>
      <c r="J46">
        <f t="shared" ca="1" si="9"/>
        <v>1095</v>
      </c>
      <c r="K46" s="30">
        <f t="shared" ca="1" si="10"/>
        <v>438</v>
      </c>
      <c r="L46" s="35">
        <f t="shared" ca="1" si="11"/>
        <v>2498.3983754495439</v>
      </c>
      <c r="M46" s="35">
        <f t="shared" ca="1" si="12"/>
        <v>2.2816423520087157</v>
      </c>
      <c r="N46" s="35">
        <f t="shared" ca="1" si="13"/>
        <v>5.7041058800217899</v>
      </c>
      <c r="O46" s="35">
        <f t="shared" ca="1" si="0"/>
        <v>47559.072373873241</v>
      </c>
    </row>
    <row r="47" spans="1:15" x14ac:dyDescent="0.15">
      <c r="A47" s="1">
        <v>43038</v>
      </c>
      <c r="B47">
        <f t="shared" ca="1" si="1"/>
        <v>2000</v>
      </c>
      <c r="C47" s="30">
        <f t="shared" ca="1" si="2"/>
        <v>400</v>
      </c>
      <c r="D47" s="35">
        <f t="shared" ca="1" si="3"/>
        <v>405.60389946423675</v>
      </c>
      <c r="E47" s="35">
        <f t="shared" ca="1" si="4"/>
        <v>0.20280194973211838</v>
      </c>
      <c r="F47" s="35">
        <f t="shared" ca="1" si="5"/>
        <v>1.0140097486605919</v>
      </c>
      <c r="G47">
        <f t="shared" ca="1" si="6"/>
        <v>198</v>
      </c>
      <c r="H47" s="35">
        <f t="shared" ca="1" si="7"/>
        <v>216.781093575103</v>
      </c>
      <c r="I47" s="35">
        <f t="shared" ca="1" si="8"/>
        <v>1.0948540079550657</v>
      </c>
      <c r="J47">
        <f t="shared" ca="1" si="9"/>
        <v>1200</v>
      </c>
      <c r="K47" s="30">
        <f t="shared" ca="1" si="10"/>
        <v>480</v>
      </c>
      <c r="L47" s="35">
        <f t="shared" ca="1" si="11"/>
        <v>2369.7588370433268</v>
      </c>
      <c r="M47" s="35">
        <f t="shared" ca="1" si="12"/>
        <v>1.974799030869439</v>
      </c>
      <c r="N47" s="35">
        <f t="shared" ca="1" si="13"/>
        <v>4.9369975771735977</v>
      </c>
      <c r="O47" s="35">
        <f t="shared" ca="1" si="0"/>
        <v>45060.673998423699</v>
      </c>
    </row>
    <row r="48" spans="1:15" x14ac:dyDescent="0.15">
      <c r="A48" s="1">
        <v>43037</v>
      </c>
      <c r="B48">
        <f t="shared" ca="1" si="1"/>
        <v>1094</v>
      </c>
      <c r="C48" s="30">
        <f t="shared" ca="1" si="2"/>
        <v>218.8</v>
      </c>
      <c r="D48" s="35">
        <f t="shared" ca="1" si="3"/>
        <v>248.51249240580859</v>
      </c>
      <c r="E48" s="35">
        <f t="shared" ca="1" si="4"/>
        <v>0.22715949945686342</v>
      </c>
      <c r="F48" s="35">
        <f t="shared" ca="1" si="5"/>
        <v>1.135797497284317</v>
      </c>
      <c r="G48">
        <f t="shared" ca="1" si="6"/>
        <v>165</v>
      </c>
      <c r="H48" s="35">
        <f t="shared" ca="1" si="7"/>
        <v>204.40589082661327</v>
      </c>
      <c r="I48" s="35">
        <f t="shared" ca="1" si="8"/>
        <v>1.2388235807673531</v>
      </c>
      <c r="J48">
        <f t="shared" ca="1" si="9"/>
        <v>1021</v>
      </c>
      <c r="K48" s="30">
        <f t="shared" ca="1" si="10"/>
        <v>408.40000000000003</v>
      </c>
      <c r="L48" s="35">
        <f t="shared" ca="1" si="11"/>
        <v>2178.3444108920366</v>
      </c>
      <c r="M48" s="35">
        <f t="shared" ca="1" si="12"/>
        <v>2.1335400694339244</v>
      </c>
      <c r="N48" s="35">
        <f t="shared" ca="1" si="13"/>
        <v>5.3338501735848105</v>
      </c>
      <c r="O48" s="35">
        <f t="shared" ca="1" si="0"/>
        <v>42690.91516138037</v>
      </c>
    </row>
    <row r="49" spans="1:15" x14ac:dyDescent="0.15">
      <c r="A49" s="1">
        <v>43036</v>
      </c>
      <c r="B49">
        <f t="shared" ca="1" si="1"/>
        <v>1928</v>
      </c>
      <c r="C49" s="30">
        <f t="shared" ca="1" si="2"/>
        <v>385.6</v>
      </c>
      <c r="D49" s="35">
        <f t="shared" ca="1" si="3"/>
        <v>393.22352649335136</v>
      </c>
      <c r="E49" s="35">
        <f t="shared" ca="1" si="4"/>
        <v>0.20395411125173826</v>
      </c>
      <c r="F49" s="35">
        <f t="shared" ca="1" si="5"/>
        <v>1.0197705562586912</v>
      </c>
      <c r="G49">
        <f t="shared" ca="1" si="6"/>
        <v>165</v>
      </c>
      <c r="H49" s="35">
        <f t="shared" ca="1" si="7"/>
        <v>175.6155792986969</v>
      </c>
      <c r="I49" s="35">
        <f t="shared" ca="1" si="8"/>
        <v>1.0643368442345267</v>
      </c>
      <c r="J49">
        <f t="shared" ca="1" si="9"/>
        <v>1100</v>
      </c>
      <c r="K49" s="30">
        <f t="shared" ca="1" si="10"/>
        <v>440</v>
      </c>
      <c r="L49" s="35">
        <f t="shared" ca="1" si="11"/>
        <v>2045.8618051186597</v>
      </c>
      <c r="M49" s="35">
        <f t="shared" ca="1" si="12"/>
        <v>1.8598743682896908</v>
      </c>
      <c r="N49" s="35">
        <f t="shared" ca="1" si="13"/>
        <v>4.6496859207242265</v>
      </c>
      <c r="O49" s="35">
        <f t="shared" ca="1" si="0"/>
        <v>40512.570750488332</v>
      </c>
    </row>
    <row r="50" spans="1:15" x14ac:dyDescent="0.15">
      <c r="A50" s="1">
        <v>43035</v>
      </c>
      <c r="B50">
        <f t="shared" ca="1" si="1"/>
        <v>1565</v>
      </c>
      <c r="C50" s="30">
        <f t="shared" ca="1" si="2"/>
        <v>313</v>
      </c>
      <c r="D50" s="35">
        <f t="shared" ca="1" si="3"/>
        <v>317.66190235462591</v>
      </c>
      <c r="E50" s="35">
        <f t="shared" ca="1" si="4"/>
        <v>0.20297885134480889</v>
      </c>
      <c r="F50" s="35">
        <f t="shared" ca="1" si="5"/>
        <v>1.0148942567240444</v>
      </c>
      <c r="G50">
        <f t="shared" ca="1" si="6"/>
        <v>152</v>
      </c>
      <c r="H50" s="35">
        <f t="shared" ca="1" si="7"/>
        <v>188.67779980083401</v>
      </c>
      <c r="I50" s="35">
        <f t="shared" ca="1" si="8"/>
        <v>1.2413013144791711</v>
      </c>
      <c r="J50">
        <f t="shared" ca="1" si="9"/>
        <v>1083</v>
      </c>
      <c r="K50" s="30">
        <f t="shared" ca="1" si="10"/>
        <v>433.20000000000005</v>
      </c>
      <c r="L50" s="35">
        <f t="shared" ca="1" si="11"/>
        <v>2166.9479007063446</v>
      </c>
      <c r="M50" s="35">
        <f t="shared" ca="1" si="12"/>
        <v>2.0008752545764956</v>
      </c>
      <c r="N50" s="35">
        <f t="shared" ca="1" si="13"/>
        <v>5.0021881364412382</v>
      </c>
      <c r="O50" s="35">
        <f t="shared" ca="1" si="0"/>
        <v>38466.708945369675</v>
      </c>
    </row>
    <row r="51" spans="1:15" x14ac:dyDescent="0.15">
      <c r="A51" s="1">
        <v>43034</v>
      </c>
      <c r="B51">
        <f t="shared" ca="1" si="1"/>
        <v>1735</v>
      </c>
      <c r="C51" s="30">
        <f t="shared" ca="1" si="2"/>
        <v>347</v>
      </c>
      <c r="D51" s="35">
        <f t="shared" ca="1" si="3"/>
        <v>372.47191068286509</v>
      </c>
      <c r="E51" s="35">
        <f t="shared" ca="1" si="4"/>
        <v>0.21468121653191072</v>
      </c>
      <c r="F51" s="35">
        <f t="shared" ca="1" si="5"/>
        <v>1.0734060826595535</v>
      </c>
      <c r="G51">
        <f t="shared" ca="1" si="6"/>
        <v>207</v>
      </c>
      <c r="H51" s="35">
        <f t="shared" ca="1" si="7"/>
        <v>216.19778819612188</v>
      </c>
      <c r="I51" s="35">
        <f t="shared" ca="1" si="8"/>
        <v>1.0444337594015549</v>
      </c>
      <c r="J51">
        <f t="shared" ca="1" si="9"/>
        <v>1179</v>
      </c>
      <c r="K51" s="30">
        <f t="shared" ca="1" si="10"/>
        <v>471.6</v>
      </c>
      <c r="L51" s="35">
        <f t="shared" ca="1" si="11"/>
        <v>1976.5705581924049</v>
      </c>
      <c r="M51" s="35">
        <f t="shared" ca="1" si="12"/>
        <v>1.6764805412997497</v>
      </c>
      <c r="N51" s="35">
        <f t="shared" ca="1" si="13"/>
        <v>4.1912013532493742</v>
      </c>
      <c r="O51" s="35">
        <f t="shared" ca="1" si="0"/>
        <v>36299.761044663333</v>
      </c>
    </row>
    <row r="52" spans="1:15" x14ac:dyDescent="0.15">
      <c r="A52" s="1">
        <v>43033</v>
      </c>
      <c r="B52">
        <f t="shared" ca="1" si="1"/>
        <v>1928</v>
      </c>
      <c r="C52" s="30">
        <f t="shared" ca="1" si="2"/>
        <v>385.6</v>
      </c>
      <c r="D52" s="35">
        <f t="shared" ca="1" si="3"/>
        <v>400.49362827944157</v>
      </c>
      <c r="E52" s="35">
        <f t="shared" ca="1" si="4"/>
        <v>0.20772491093332032</v>
      </c>
      <c r="F52" s="35">
        <f t="shared" ca="1" si="5"/>
        <v>1.0386245546666015</v>
      </c>
      <c r="G52">
        <f t="shared" ca="1" si="6"/>
        <v>181</v>
      </c>
      <c r="H52" s="35">
        <f t="shared" ca="1" si="7"/>
        <v>194.63300331805164</v>
      </c>
      <c r="I52" s="35">
        <f t="shared" ca="1" si="8"/>
        <v>1.0753204603207274</v>
      </c>
      <c r="J52">
        <f t="shared" ca="1" si="9"/>
        <v>1143</v>
      </c>
      <c r="K52" s="30">
        <f t="shared" ca="1" si="10"/>
        <v>457.20000000000005</v>
      </c>
      <c r="L52" s="35">
        <f t="shared" ca="1" si="11"/>
        <v>2087.0728796542726</v>
      </c>
      <c r="M52" s="35">
        <f t="shared" ca="1" si="12"/>
        <v>1.8259605246319095</v>
      </c>
      <c r="N52" s="35">
        <f t="shared" ca="1" si="13"/>
        <v>4.5649013115797734</v>
      </c>
      <c r="O52" s="35">
        <f t="shared" ca="1" si="0"/>
        <v>34323.190486470929</v>
      </c>
    </row>
    <row r="53" spans="1:15" x14ac:dyDescent="0.15">
      <c r="A53" s="1">
        <v>43032</v>
      </c>
      <c r="B53">
        <f t="shared" ca="1" si="1"/>
        <v>1280</v>
      </c>
      <c r="C53" s="30">
        <f t="shared" ca="1" si="2"/>
        <v>256</v>
      </c>
      <c r="D53" s="35">
        <f t="shared" ca="1" si="3"/>
        <v>272.9694228014356</v>
      </c>
      <c r="E53" s="35">
        <f t="shared" ca="1" si="4"/>
        <v>0.21325736156362157</v>
      </c>
      <c r="F53" s="35">
        <f t="shared" ca="1" si="5"/>
        <v>1.0662868078181078</v>
      </c>
      <c r="G53">
        <f t="shared" ca="1" si="6"/>
        <v>170</v>
      </c>
      <c r="H53" s="35">
        <f t="shared" ca="1" si="7"/>
        <v>194.7716063915455</v>
      </c>
      <c r="I53" s="35">
        <f t="shared" ca="1" si="8"/>
        <v>1.1457153317149735</v>
      </c>
      <c r="J53">
        <f t="shared" ca="1" si="9"/>
        <v>1060</v>
      </c>
      <c r="K53" s="30">
        <f t="shared" ca="1" si="10"/>
        <v>424</v>
      </c>
      <c r="L53" s="35">
        <f t="shared" ca="1" si="11"/>
        <v>2022.473571350316</v>
      </c>
      <c r="M53" s="35">
        <f t="shared" ca="1" si="12"/>
        <v>1.9079939352361472</v>
      </c>
      <c r="N53" s="35">
        <f t="shared" ca="1" si="13"/>
        <v>4.7699848380903678</v>
      </c>
      <c r="O53" s="35">
        <f t="shared" ca="1" si="0"/>
        <v>32236.117606816653</v>
      </c>
    </row>
    <row r="54" spans="1:15" x14ac:dyDescent="0.15">
      <c r="A54" s="1">
        <v>43031</v>
      </c>
      <c r="B54">
        <f t="shared" ca="1" si="1"/>
        <v>1765</v>
      </c>
      <c r="C54" s="30">
        <f t="shared" ca="1" si="2"/>
        <v>353</v>
      </c>
      <c r="D54" s="35">
        <f t="shared" ca="1" si="3"/>
        <v>385.09746779967469</v>
      </c>
      <c r="E54" s="35">
        <f t="shared" ca="1" si="4"/>
        <v>0.21818553416412165</v>
      </c>
      <c r="F54" s="35">
        <f t="shared" ca="1" si="5"/>
        <v>1.0909276708206082</v>
      </c>
      <c r="G54">
        <f t="shared" ca="1" si="6"/>
        <v>232</v>
      </c>
      <c r="H54" s="35">
        <f t="shared" ca="1" si="7"/>
        <v>281.51088767306055</v>
      </c>
      <c r="I54" s="35">
        <f t="shared" ca="1" si="8"/>
        <v>1.2134089985907783</v>
      </c>
      <c r="J54">
        <f t="shared" ca="1" si="9"/>
        <v>1064</v>
      </c>
      <c r="K54" s="30">
        <f t="shared" ca="1" si="10"/>
        <v>425.6</v>
      </c>
      <c r="L54" s="35">
        <f t="shared" ca="1" si="11"/>
        <v>2317.3022841729698</v>
      </c>
      <c r="M54" s="35">
        <f t="shared" ca="1" si="12"/>
        <v>2.1779156806136934</v>
      </c>
      <c r="N54" s="35">
        <f t="shared" ca="1" si="13"/>
        <v>5.444789201534233</v>
      </c>
      <c r="O54" s="35">
        <f t="shared" ca="1" si="0"/>
        <v>30213.644035466335</v>
      </c>
    </row>
    <row r="55" spans="1:15" x14ac:dyDescent="0.15">
      <c r="A55" s="1">
        <v>43030</v>
      </c>
      <c r="B55">
        <f t="shared" ca="1" si="1"/>
        <v>1057</v>
      </c>
      <c r="C55" s="30">
        <f t="shared" ca="1" si="2"/>
        <v>211.4</v>
      </c>
      <c r="D55" s="35">
        <f t="shared" ca="1" si="3"/>
        <v>225.24996705890544</v>
      </c>
      <c r="E55" s="35">
        <f t="shared" ca="1" si="4"/>
        <v>0.2131030908788131</v>
      </c>
      <c r="F55" s="35">
        <f t="shared" ca="1" si="5"/>
        <v>1.0655154543940655</v>
      </c>
      <c r="G55">
        <f t="shared" ca="1" si="6"/>
        <v>183</v>
      </c>
      <c r="H55" s="35">
        <f t="shared" ca="1" si="7"/>
        <v>211.42959453757834</v>
      </c>
      <c r="I55" s="35">
        <f t="shared" ca="1" si="8"/>
        <v>1.1553529756151821</v>
      </c>
      <c r="J55">
        <f t="shared" ca="1" si="9"/>
        <v>1149</v>
      </c>
      <c r="K55" s="30">
        <f t="shared" ca="1" si="10"/>
        <v>459.6</v>
      </c>
      <c r="L55" s="35">
        <f t="shared" ca="1" si="11"/>
        <v>1543.4029606601343</v>
      </c>
      <c r="M55" s="35">
        <f t="shared" ca="1" si="12"/>
        <v>1.3432575810793161</v>
      </c>
      <c r="N55" s="35">
        <f t="shared" ca="1" si="13"/>
        <v>3.3581439526982906</v>
      </c>
      <c r="O55" s="35">
        <f t="shared" ca="1" si="0"/>
        <v>27896.341751293367</v>
      </c>
    </row>
    <row r="56" spans="1:15" x14ac:dyDescent="0.15">
      <c r="A56" s="1">
        <v>43029</v>
      </c>
      <c r="B56">
        <f t="shared" ca="1" si="1"/>
        <v>1424</v>
      </c>
      <c r="C56" s="30">
        <f t="shared" ca="1" si="2"/>
        <v>284.8</v>
      </c>
      <c r="D56" s="35">
        <f t="shared" ca="1" si="3"/>
        <v>322.28128727813618</v>
      </c>
      <c r="E56" s="35">
        <f t="shared" ca="1" si="4"/>
        <v>0.2263211287065563</v>
      </c>
      <c r="F56" s="35">
        <f t="shared" ca="1" si="5"/>
        <v>1.1316056435327815</v>
      </c>
      <c r="G56">
        <f t="shared" ca="1" si="6"/>
        <v>151</v>
      </c>
      <c r="H56" s="35">
        <f t="shared" ca="1" si="7"/>
        <v>199.96945244531088</v>
      </c>
      <c r="I56" s="35">
        <f t="shared" ca="1" si="8"/>
        <v>1.3243010095715952</v>
      </c>
      <c r="J56">
        <f t="shared" ca="1" si="9"/>
        <v>1024</v>
      </c>
      <c r="K56" s="30">
        <f t="shared" ca="1" si="10"/>
        <v>409.6</v>
      </c>
      <c r="L56" s="35">
        <f t="shared" ca="1" si="11"/>
        <v>1630.7458137900128</v>
      </c>
      <c r="M56" s="35">
        <f t="shared" ca="1" si="12"/>
        <v>1.5925252087793094</v>
      </c>
      <c r="N56" s="35">
        <f t="shared" ca="1" si="13"/>
        <v>3.9813130219482731</v>
      </c>
      <c r="O56" s="35">
        <f t="shared" ca="1" si="0"/>
        <v>26352.93879063323</v>
      </c>
    </row>
    <row r="57" spans="1:15" x14ac:dyDescent="0.15">
      <c r="A57" s="1">
        <v>43028</v>
      </c>
      <c r="B57">
        <f t="shared" ca="1" si="1"/>
        <v>1539</v>
      </c>
      <c r="C57" s="30">
        <f t="shared" ca="1" si="2"/>
        <v>307.8</v>
      </c>
      <c r="D57" s="35">
        <f t="shared" ca="1" si="3"/>
        <v>317.13896666092273</v>
      </c>
      <c r="E57" s="35">
        <f t="shared" ca="1" si="4"/>
        <v>0.20606820445803947</v>
      </c>
      <c r="F57" s="35">
        <f t="shared" ca="1" si="5"/>
        <v>1.0303410222901972</v>
      </c>
      <c r="G57">
        <f t="shared" ca="1" si="6"/>
        <v>231</v>
      </c>
      <c r="H57" s="35">
        <f t="shared" ca="1" si="7"/>
        <v>279.99266610464178</v>
      </c>
      <c r="I57" s="35">
        <f t="shared" ca="1" si="8"/>
        <v>1.2120894636564579</v>
      </c>
      <c r="J57">
        <f t="shared" ca="1" si="9"/>
        <v>1137</v>
      </c>
      <c r="K57" s="30">
        <f t="shared" ca="1" si="10"/>
        <v>454.8</v>
      </c>
      <c r="L57" s="35">
        <f t="shared" ca="1" si="11"/>
        <v>1953.3922837008649</v>
      </c>
      <c r="M57" s="35">
        <f t="shared" ca="1" si="12"/>
        <v>1.7180231167114028</v>
      </c>
      <c r="N57" s="35">
        <f t="shared" ca="1" si="13"/>
        <v>4.2950577917785067</v>
      </c>
      <c r="O57" s="35">
        <f t="shared" ca="1" si="0"/>
        <v>24722.192976843216</v>
      </c>
    </row>
    <row r="58" spans="1:15" x14ac:dyDescent="0.15">
      <c r="A58" s="1">
        <v>43027</v>
      </c>
      <c r="B58">
        <f t="shared" ca="1" si="1"/>
        <v>1418</v>
      </c>
      <c r="C58" s="30">
        <f t="shared" ca="1" si="2"/>
        <v>283.60000000000002</v>
      </c>
      <c r="D58" s="35">
        <f t="shared" ca="1" si="3"/>
        <v>301.12874142897601</v>
      </c>
      <c r="E58" s="35">
        <f t="shared" ca="1" si="4"/>
        <v>0.21236159480181666</v>
      </c>
      <c r="F58" s="35">
        <f t="shared" ca="1" si="5"/>
        <v>1.0618079740090831</v>
      </c>
      <c r="G58">
        <f t="shared" ca="1" si="6"/>
        <v>156</v>
      </c>
      <c r="H58" s="35">
        <f t="shared" ca="1" si="7"/>
        <v>196.74935078275576</v>
      </c>
      <c r="I58" s="35">
        <f t="shared" ca="1" si="8"/>
        <v>1.261213787068947</v>
      </c>
      <c r="J58">
        <f t="shared" ca="1" si="9"/>
        <v>1014</v>
      </c>
      <c r="K58" s="30">
        <f t="shared" ca="1" si="10"/>
        <v>405.6</v>
      </c>
      <c r="L58" s="35">
        <f t="shared" ca="1" si="11"/>
        <v>2131.2595822845033</v>
      </c>
      <c r="M58" s="35">
        <f t="shared" ca="1" si="12"/>
        <v>2.1018339075784054</v>
      </c>
      <c r="N58" s="35">
        <f t="shared" ca="1" si="13"/>
        <v>5.2545847689460139</v>
      </c>
      <c r="O58" s="35">
        <f t="shared" ca="1" si="0"/>
        <v>22768.800693142352</v>
      </c>
    </row>
    <row r="59" spans="1:15" x14ac:dyDescent="0.15">
      <c r="A59" s="1">
        <v>43026</v>
      </c>
      <c r="B59">
        <f t="shared" ca="1" si="1"/>
        <v>1066</v>
      </c>
      <c r="C59" s="30">
        <f t="shared" ca="1" si="2"/>
        <v>213.20000000000002</v>
      </c>
      <c r="D59" s="35">
        <f t="shared" ca="1" si="3"/>
        <v>214.84357519288952</v>
      </c>
      <c r="E59" s="35">
        <f t="shared" ca="1" si="4"/>
        <v>0.20154181537794513</v>
      </c>
      <c r="F59" s="35">
        <f t="shared" ca="1" si="5"/>
        <v>1.0077090768897257</v>
      </c>
      <c r="G59">
        <f t="shared" ca="1" si="6"/>
        <v>226</v>
      </c>
      <c r="H59" s="35">
        <f t="shared" ca="1" si="7"/>
        <v>238.23915592301438</v>
      </c>
      <c r="I59" s="35">
        <f t="shared" ca="1" si="8"/>
        <v>1.0541555571814796</v>
      </c>
      <c r="J59">
        <f t="shared" ca="1" si="9"/>
        <v>1066</v>
      </c>
      <c r="K59" s="30">
        <f t="shared" ca="1" si="10"/>
        <v>426.40000000000003</v>
      </c>
      <c r="L59" s="35">
        <f t="shared" ca="1" si="11"/>
        <v>1502.8904848755792</v>
      </c>
      <c r="M59" s="35">
        <f t="shared" ca="1" si="12"/>
        <v>1.4098409801834701</v>
      </c>
      <c r="N59" s="35">
        <f t="shared" ca="1" si="13"/>
        <v>3.524602450458675</v>
      </c>
      <c r="O59" s="35">
        <f ca="1">O60+L59</f>
        <v>20637.541110857848</v>
      </c>
    </row>
    <row r="60" spans="1:15" x14ac:dyDescent="0.15">
      <c r="A60" s="1">
        <v>43025</v>
      </c>
      <c r="B60">
        <f t="shared" ca="1" si="1"/>
        <v>1076</v>
      </c>
      <c r="C60" s="30">
        <f t="shared" ca="1" si="2"/>
        <v>215.20000000000002</v>
      </c>
      <c r="D60" s="35">
        <f t="shared" ca="1" si="3"/>
        <v>261.08326004111416</v>
      </c>
      <c r="E60" s="35">
        <f t="shared" ca="1" si="4"/>
        <v>0.24264243498244811</v>
      </c>
      <c r="F60" s="35">
        <f t="shared" ca="1" si="5"/>
        <v>1.2132121749122404</v>
      </c>
      <c r="G60">
        <f t="shared" ca="1" si="6"/>
        <v>227</v>
      </c>
      <c r="H60" s="35">
        <f t="shared" ca="1" si="7"/>
        <v>231.34504208126705</v>
      </c>
      <c r="I60" s="35">
        <f t="shared" ca="1" si="8"/>
        <v>1.0191411545430267</v>
      </c>
      <c r="J60">
        <f t="shared" ca="1" si="9"/>
        <v>1114</v>
      </c>
      <c r="K60" s="30">
        <f t="shared" ca="1" si="10"/>
        <v>445.6</v>
      </c>
      <c r="L60" s="35">
        <f t="shared" ca="1" si="11"/>
        <v>2455.2089831386584</v>
      </c>
      <c r="M60" s="35">
        <f t="shared" ca="1" si="12"/>
        <v>2.2039577945589395</v>
      </c>
      <c r="N60" s="35">
        <f t="shared" ca="1" si="13"/>
        <v>5.5098944863973482</v>
      </c>
      <c r="O60" s="35">
        <f ca="1">O61+L60</f>
        <v>19134.650625982271</v>
      </c>
    </row>
    <row r="61" spans="1:15" x14ac:dyDescent="0.15">
      <c r="A61" s="1">
        <v>43024</v>
      </c>
      <c r="B61">
        <f t="shared" ca="1" si="1"/>
        <v>1526</v>
      </c>
      <c r="C61" s="30">
        <f t="shared" ca="1" si="2"/>
        <v>305.2</v>
      </c>
      <c r="D61" s="35">
        <f t="shared" ca="1" si="3"/>
        <v>318.73644501080662</v>
      </c>
      <c r="E61" s="35">
        <f t="shared" ca="1" si="4"/>
        <v>0.20887054063617733</v>
      </c>
      <c r="F61" s="35">
        <f t="shared" ca="1" si="5"/>
        <v>1.0443527031808868</v>
      </c>
      <c r="G61">
        <f t="shared" ca="1" si="6"/>
        <v>213</v>
      </c>
      <c r="H61" s="35">
        <f t="shared" ca="1" si="7"/>
        <v>222.83048370457365</v>
      </c>
      <c r="I61" s="35">
        <f t="shared" ca="1" si="8"/>
        <v>1.0461525056552754</v>
      </c>
      <c r="J61">
        <f t="shared" ca="1" si="9"/>
        <v>1019</v>
      </c>
      <c r="K61" s="30">
        <f t="shared" ca="1" si="10"/>
        <v>407.6</v>
      </c>
      <c r="L61" s="35">
        <f t="shared" ca="1" si="11"/>
        <v>2274.6575703484382</v>
      </c>
      <c r="M61" s="35">
        <f t="shared" ca="1" si="12"/>
        <v>2.2322449169268284</v>
      </c>
      <c r="N61" s="35">
        <f t="shared" ca="1" si="13"/>
        <v>5.5806122923170705</v>
      </c>
      <c r="O61" s="35">
        <f ca="1">15000+L2</f>
        <v>16679.441642843612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workbookViewId="0">
      <selection activeCell="I8" sqref="I8"/>
    </sheetView>
  </sheetViews>
  <sheetFormatPr defaultColWidth="15.625" defaultRowHeight="25.5" customHeight="1" x14ac:dyDescent="0.15"/>
  <cols>
    <col min="1" max="1" width="11.125" customWidth="1"/>
    <col min="2" max="2" width="7.75" style="13" customWidth="1"/>
    <col min="3" max="31" width="7.75" style="17" customWidth="1"/>
  </cols>
  <sheetData>
    <row r="1" spans="1:31" s="14" customFormat="1" ht="25.5" customHeight="1" x14ac:dyDescent="0.15">
      <c r="A1" s="14" t="s">
        <v>1</v>
      </c>
      <c r="B1" s="15" t="s">
        <v>11</v>
      </c>
      <c r="C1" s="16" t="s">
        <v>12</v>
      </c>
      <c r="D1" s="16" t="s">
        <v>13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  <c r="Q1" s="16" t="s">
        <v>27</v>
      </c>
      <c r="R1" s="16" t="s">
        <v>28</v>
      </c>
      <c r="S1" s="16" t="s">
        <v>29</v>
      </c>
      <c r="T1" s="16" t="s">
        <v>30</v>
      </c>
      <c r="U1" s="16" t="s">
        <v>31</v>
      </c>
      <c r="V1" s="16" t="s">
        <v>32</v>
      </c>
      <c r="W1" s="16" t="s">
        <v>33</v>
      </c>
      <c r="X1" s="16" t="s">
        <v>34</v>
      </c>
      <c r="Y1" s="16" t="s">
        <v>35</v>
      </c>
      <c r="Z1" s="16" t="s">
        <v>36</v>
      </c>
      <c r="AA1" s="16" t="s">
        <v>37</v>
      </c>
      <c r="AB1" s="16" t="s">
        <v>38</v>
      </c>
      <c r="AC1" s="16" t="s">
        <v>39</v>
      </c>
      <c r="AD1" s="16" t="s">
        <v>40</v>
      </c>
      <c r="AE1" s="16" t="s">
        <v>41</v>
      </c>
    </row>
    <row r="2" spans="1:31" ht="25.5" customHeight="1" x14ac:dyDescent="0.15">
      <c r="A2" s="1">
        <v>43070</v>
      </c>
      <c r="B2" s="13">
        <f ca="1">RAND()*200+800</f>
        <v>843.94040289270561</v>
      </c>
      <c r="C2" s="17">
        <f ca="1">RAND()*1</f>
        <v>0.93942186950103868</v>
      </c>
      <c r="D2" s="17">
        <f ca="1">RAND()*0.8</f>
        <v>0.46431993952205125</v>
      </c>
      <c r="E2" s="17">
        <f ca="1">RAND()*0.5</f>
        <v>0.35851321006455106</v>
      </c>
      <c r="F2" s="17">
        <f ca="1">RAND()*0.45</f>
        <v>0.29914190741668872</v>
      </c>
      <c r="G2" s="17">
        <f ca="1">RAND()*0.4</f>
        <v>0.39374384494002646</v>
      </c>
      <c r="H2" s="17">
        <f ca="1">RAND()*0.28</f>
        <v>0.24204650524785046</v>
      </c>
      <c r="I2" s="17">
        <f ca="1">RAND()*0.25</f>
        <v>4.1899134341840283E-2</v>
      </c>
      <c r="J2" s="17">
        <f ca="1">RAND()*0.21</f>
        <v>0.17961172375542642</v>
      </c>
      <c r="K2" s="17">
        <f ca="1">RAND()*0.2</f>
        <v>4.33451868380361E-2</v>
      </c>
      <c r="L2" s="17">
        <f ca="1">RAND()*0.2</f>
        <v>0.17538666835340558</v>
      </c>
    </row>
    <row r="3" spans="1:31" ht="25.5" customHeight="1" x14ac:dyDescent="0.15">
      <c r="A3" s="1">
        <v>43071</v>
      </c>
      <c r="B3" s="13">
        <f t="shared" ref="B3:B12" ca="1" si="0">RAND()*200+800</f>
        <v>898.16124724674819</v>
      </c>
      <c r="C3" s="17">
        <f t="shared" ref="C3:C11" ca="1" si="1">RAND()*1</f>
        <v>0.66219444957527462</v>
      </c>
      <c r="D3" s="17">
        <f t="shared" ref="D3:D10" ca="1" si="2">RAND()*0.8</f>
        <v>0.23800462935380989</v>
      </c>
      <c r="E3" s="17">
        <f t="shared" ref="E3:E9" ca="1" si="3">RAND()*0.5</f>
        <v>0.17262151988145236</v>
      </c>
      <c r="F3" s="17">
        <f t="shared" ref="F3:F8" ca="1" si="4">RAND()*0.45</f>
        <v>0.16824822406034795</v>
      </c>
      <c r="G3" s="17">
        <f t="shared" ref="G3:G7" ca="1" si="5">RAND()*0.4</f>
        <v>7.7412286251054674E-2</v>
      </c>
      <c r="H3" s="17">
        <f t="shared" ref="H3:H6" ca="1" si="6">RAND()*0.28</f>
        <v>0.16586279645776242</v>
      </c>
      <c r="I3" s="17">
        <f t="shared" ref="I3:I5" ca="1" si="7">RAND()*0.25</f>
        <v>0.24339268606608627</v>
      </c>
      <c r="J3" s="17">
        <f t="shared" ref="J3:J4" ca="1" si="8">RAND()*0.21</f>
        <v>0.10292092981777612</v>
      </c>
      <c r="K3" s="17">
        <f ca="1">RAND()*0.2</f>
        <v>0.16881885339705549</v>
      </c>
    </row>
    <row r="4" spans="1:31" ht="25.5" customHeight="1" x14ac:dyDescent="0.15">
      <c r="A4" s="1">
        <v>43072</v>
      </c>
      <c r="B4" s="13">
        <f t="shared" ca="1" si="0"/>
        <v>859.61532250726395</v>
      </c>
      <c r="C4" s="17">
        <f t="shared" ca="1" si="1"/>
        <v>7.0187319669129389E-3</v>
      </c>
      <c r="D4" s="17">
        <f t="shared" ca="1" si="2"/>
        <v>0.47290833593710158</v>
      </c>
      <c r="E4" s="17">
        <f t="shared" ca="1" si="3"/>
        <v>0.38077253208673068</v>
      </c>
      <c r="F4" s="17">
        <f t="shared" ca="1" si="4"/>
        <v>8.694583557545937E-3</v>
      </c>
      <c r="G4" s="17">
        <f t="shared" ca="1" si="5"/>
        <v>0.11913399647035119</v>
      </c>
      <c r="H4" s="17">
        <f t="shared" ca="1" si="6"/>
        <v>0.13761045689372775</v>
      </c>
      <c r="I4" s="17">
        <f t="shared" ca="1" si="7"/>
        <v>0.11567071849128352</v>
      </c>
      <c r="J4" s="17">
        <f t="shared" ca="1" si="8"/>
        <v>8.2731668600826549E-2</v>
      </c>
    </row>
    <row r="5" spans="1:31" ht="25.5" customHeight="1" x14ac:dyDescent="0.15">
      <c r="A5" s="1">
        <v>43073</v>
      </c>
      <c r="B5" s="13">
        <f t="shared" ca="1" si="0"/>
        <v>953.73270962670904</v>
      </c>
      <c r="C5" s="17">
        <f t="shared" ca="1" si="1"/>
        <v>0.25816242055027505</v>
      </c>
      <c r="D5" s="17">
        <f t="shared" ca="1" si="2"/>
        <v>0.42473909984302233</v>
      </c>
      <c r="E5" s="17">
        <f t="shared" ca="1" si="3"/>
        <v>0.48535651375306038</v>
      </c>
      <c r="F5" s="17">
        <f t="shared" ca="1" si="4"/>
        <v>0.38265966849920591</v>
      </c>
      <c r="G5" s="17">
        <f t="shared" ca="1" si="5"/>
        <v>0.27458022014877231</v>
      </c>
      <c r="H5" s="17">
        <f t="shared" ca="1" si="6"/>
        <v>7.5516158284029411E-2</v>
      </c>
      <c r="I5" s="17">
        <f t="shared" ca="1" si="7"/>
        <v>7.7569638411266933E-2</v>
      </c>
    </row>
    <row r="6" spans="1:31" ht="25.5" customHeight="1" x14ac:dyDescent="0.15">
      <c r="A6" s="1">
        <v>43074</v>
      </c>
      <c r="B6" s="13">
        <f t="shared" ca="1" si="0"/>
        <v>860.18701382886104</v>
      </c>
      <c r="C6" s="17">
        <f t="shared" ca="1" si="1"/>
        <v>0.23950196384251798</v>
      </c>
      <c r="D6" s="17">
        <f t="shared" ca="1" si="2"/>
        <v>0.14461150415785148</v>
      </c>
      <c r="E6" s="17">
        <f t="shared" ca="1" si="3"/>
        <v>1.1866849040973682E-2</v>
      </c>
      <c r="F6" s="17">
        <f t="shared" ca="1" si="4"/>
        <v>1.0542162759172408E-2</v>
      </c>
      <c r="G6" s="17">
        <f t="shared" ca="1" si="5"/>
        <v>0.18064074119594023</v>
      </c>
      <c r="H6" s="17">
        <f t="shared" ca="1" si="6"/>
        <v>0.1622073670993989</v>
      </c>
    </row>
    <row r="7" spans="1:31" ht="25.5" customHeight="1" x14ac:dyDescent="0.15">
      <c r="A7" s="1">
        <v>43075</v>
      </c>
      <c r="B7" s="13">
        <f t="shared" ca="1" si="0"/>
        <v>844.21735053064617</v>
      </c>
      <c r="C7" s="17">
        <f t="shared" ca="1" si="1"/>
        <v>0.92181379734413416</v>
      </c>
      <c r="D7" s="17">
        <f t="shared" ca="1" si="2"/>
        <v>0.65178619817661465</v>
      </c>
      <c r="E7" s="17">
        <f t="shared" ca="1" si="3"/>
        <v>0.20531361221344063</v>
      </c>
      <c r="F7" s="17">
        <f t="shared" ca="1" si="4"/>
        <v>0.20351262410442025</v>
      </c>
      <c r="G7" s="17">
        <f t="shared" ca="1" si="5"/>
        <v>0.138449897503439</v>
      </c>
    </row>
    <row r="8" spans="1:31" ht="25.5" customHeight="1" x14ac:dyDescent="0.15">
      <c r="A8" s="1">
        <v>43076</v>
      </c>
      <c r="B8" s="13">
        <f t="shared" ca="1" si="0"/>
        <v>881.09917799067568</v>
      </c>
      <c r="C8" s="17">
        <f t="shared" ca="1" si="1"/>
        <v>1.9905417736296616E-2</v>
      </c>
      <c r="D8" s="17">
        <f t="shared" ca="1" si="2"/>
        <v>0.16015044600150186</v>
      </c>
      <c r="E8" s="17">
        <f t="shared" ca="1" si="3"/>
        <v>1.4662154004576933E-2</v>
      </c>
      <c r="F8" s="17">
        <f t="shared" ca="1" si="4"/>
        <v>0.28038467032991204</v>
      </c>
    </row>
    <row r="9" spans="1:31" ht="25.5" customHeight="1" x14ac:dyDescent="0.15">
      <c r="A9" s="1">
        <v>43077</v>
      </c>
      <c r="B9" s="13">
        <f t="shared" ca="1" si="0"/>
        <v>996.98025736193404</v>
      </c>
      <c r="C9" s="17">
        <f t="shared" ca="1" si="1"/>
        <v>0.94925239971096909</v>
      </c>
      <c r="D9" s="17">
        <f t="shared" ca="1" si="2"/>
        <v>0.78380544393455731</v>
      </c>
      <c r="E9" s="17">
        <f t="shared" ca="1" si="3"/>
        <v>0.3963432697387464</v>
      </c>
    </row>
    <row r="10" spans="1:31" ht="25.5" customHeight="1" x14ac:dyDescent="0.15">
      <c r="A10" s="1">
        <v>43078</v>
      </c>
      <c r="B10" s="13">
        <f t="shared" ca="1" si="0"/>
        <v>855.3812093114384</v>
      </c>
      <c r="C10" s="17">
        <f t="shared" ca="1" si="1"/>
        <v>0.10536018151309468</v>
      </c>
      <c r="D10" s="17">
        <f t="shared" ca="1" si="2"/>
        <v>0.47024297225126177</v>
      </c>
    </row>
    <row r="11" spans="1:31" ht="25.5" customHeight="1" x14ac:dyDescent="0.15">
      <c r="A11" s="1">
        <v>43079</v>
      </c>
      <c r="B11" s="13">
        <f t="shared" ca="1" si="0"/>
        <v>920.13437909228719</v>
      </c>
      <c r="C11" s="17">
        <f t="shared" ca="1" si="1"/>
        <v>0.88494276405013417</v>
      </c>
    </row>
    <row r="12" spans="1:31" ht="25.5" customHeight="1" x14ac:dyDescent="0.15">
      <c r="A12" s="1">
        <v>43080</v>
      </c>
      <c r="B12" s="13">
        <f t="shared" ca="1" si="0"/>
        <v>843.24621300600768</v>
      </c>
    </row>
    <row r="14" spans="1:31" ht="25.5" customHeight="1" x14ac:dyDescent="0.15">
      <c r="A14" s="1"/>
    </row>
    <row r="15" spans="1:31" ht="25.5" customHeight="1" x14ac:dyDescent="0.15">
      <c r="A15" s="1"/>
    </row>
    <row r="16" spans="1:31" ht="25.5" customHeight="1" x14ac:dyDescent="0.15">
      <c r="A16" s="1"/>
    </row>
    <row r="17" spans="1:1" ht="25.5" customHeight="1" x14ac:dyDescent="0.15">
      <c r="A17" s="1"/>
    </row>
    <row r="18" spans="1:1" ht="25.5" customHeight="1" x14ac:dyDescent="0.15">
      <c r="A18" s="1"/>
    </row>
    <row r="19" spans="1:1" ht="25.5" customHeight="1" x14ac:dyDescent="0.15">
      <c r="A19" s="1"/>
    </row>
    <row r="20" spans="1:1" ht="25.5" customHeight="1" x14ac:dyDescent="0.15">
      <c r="A20" s="1"/>
    </row>
    <row r="21" spans="1:1" ht="25.5" customHeight="1" x14ac:dyDescent="0.15">
      <c r="A21" s="1"/>
    </row>
    <row r="22" spans="1:1" ht="25.5" customHeight="1" x14ac:dyDescent="0.15">
      <c r="A22" s="1"/>
    </row>
    <row r="23" spans="1:1" ht="25.5" customHeight="1" x14ac:dyDescent="0.15">
      <c r="A23" s="1"/>
    </row>
    <row r="24" spans="1:1" ht="25.5" customHeight="1" x14ac:dyDescent="0.15">
      <c r="A24" s="1"/>
    </row>
    <row r="25" spans="1:1" ht="25.5" customHeight="1" x14ac:dyDescent="0.15">
      <c r="A25" s="1"/>
    </row>
    <row r="26" spans="1:1" ht="25.5" customHeight="1" x14ac:dyDescent="0.15">
      <c r="A26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D6" sqref="D6"/>
    </sheetView>
  </sheetViews>
  <sheetFormatPr defaultRowHeight="13.5" x14ac:dyDescent="0.15"/>
  <sheetData>
    <row r="1" spans="1:9" x14ac:dyDescent="0.1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106</v>
      </c>
      <c r="G1" t="s">
        <v>105</v>
      </c>
      <c r="H1" t="s">
        <v>107</v>
      </c>
      <c r="I1" t="s">
        <v>108</v>
      </c>
    </row>
    <row r="2" spans="1:9" x14ac:dyDescent="0.15">
      <c r="A2" s="69" t="s">
        <v>111</v>
      </c>
      <c r="B2" t="s">
        <v>109</v>
      </c>
    </row>
    <row r="3" spans="1:9" x14ac:dyDescent="0.15">
      <c r="A3" s="69"/>
      <c r="B3" t="s">
        <v>110</v>
      </c>
    </row>
  </sheetData>
  <mergeCells count="1">
    <mergeCell ref="A2:A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H6" sqref="H6"/>
    </sheetView>
  </sheetViews>
  <sheetFormatPr defaultRowHeight="13.5" x14ac:dyDescent="0.15"/>
  <cols>
    <col min="7" max="7" width="13" bestFit="1" customWidth="1"/>
    <col min="9" max="9" width="13" bestFit="1" customWidth="1"/>
    <col min="10" max="10" width="17.25" bestFit="1" customWidth="1"/>
    <col min="11" max="11" width="9" bestFit="1" customWidth="1"/>
    <col min="13" max="13" width="12" bestFit="1" customWidth="1"/>
    <col min="14" max="14" width="10.25" bestFit="1" customWidth="1"/>
    <col min="15" max="15" width="13" bestFit="1" customWidth="1"/>
    <col min="16" max="16" width="17.25" bestFit="1" customWidth="1"/>
  </cols>
  <sheetData>
    <row r="1" spans="1:17" x14ac:dyDescent="0.15">
      <c r="A1" s="70" t="s">
        <v>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s="7" customFormat="1" x14ac:dyDescent="0.15">
      <c r="A2" s="7" t="s">
        <v>58</v>
      </c>
      <c r="B2" s="7" t="s">
        <v>59</v>
      </c>
      <c r="C2" s="7" t="s">
        <v>60</v>
      </c>
      <c r="D2" s="7" t="s">
        <v>61</v>
      </c>
      <c r="E2" s="7" t="s">
        <v>83</v>
      </c>
      <c r="F2" s="7" t="s">
        <v>84</v>
      </c>
      <c r="G2" s="7" t="s">
        <v>87</v>
      </c>
      <c r="H2" s="7" t="s">
        <v>90</v>
      </c>
      <c r="I2" s="7" t="s">
        <v>91</v>
      </c>
      <c r="J2" s="7" t="s">
        <v>92</v>
      </c>
      <c r="K2" s="7" t="s">
        <v>94</v>
      </c>
      <c r="L2" s="7" t="s">
        <v>75</v>
      </c>
      <c r="M2" s="7" t="s">
        <v>95</v>
      </c>
      <c r="N2" s="7" t="s">
        <v>96</v>
      </c>
      <c r="O2" s="7" t="s">
        <v>77</v>
      </c>
      <c r="P2" s="7" t="s">
        <v>80</v>
      </c>
      <c r="Q2" s="7" t="s">
        <v>88</v>
      </c>
    </row>
    <row r="3" spans="1:17" ht="67.5" x14ac:dyDescent="0.15">
      <c r="A3" s="12" t="s">
        <v>74</v>
      </c>
      <c r="B3" s="12" t="s">
        <v>62</v>
      </c>
      <c r="C3" s="12" t="s">
        <v>63</v>
      </c>
      <c r="D3" s="12" t="s">
        <v>64</v>
      </c>
      <c r="E3" s="12" t="s">
        <v>65</v>
      </c>
      <c r="F3" s="12" t="s">
        <v>86</v>
      </c>
      <c r="G3" s="12"/>
      <c r="H3" s="8"/>
      <c r="I3" s="8" t="s">
        <v>85</v>
      </c>
      <c r="J3" s="8" t="s">
        <v>93</v>
      </c>
      <c r="K3" s="8"/>
      <c r="L3" s="8" t="s">
        <v>76</v>
      </c>
      <c r="M3" s="8" t="s">
        <v>97</v>
      </c>
      <c r="N3" s="8" t="s">
        <v>98</v>
      </c>
      <c r="O3" s="12" t="s">
        <v>78</v>
      </c>
      <c r="P3" s="8" t="s">
        <v>81</v>
      </c>
      <c r="Q3" s="8" t="s">
        <v>89</v>
      </c>
    </row>
    <row r="5" spans="1:17" s="10" customFormat="1" x14ac:dyDescent="0.15">
      <c r="A5" s="10" t="s">
        <v>1</v>
      </c>
      <c r="B5" s="10" t="s">
        <v>66</v>
      </c>
      <c r="C5" s="10" t="s">
        <v>67</v>
      </c>
      <c r="D5" s="10" t="s">
        <v>73</v>
      </c>
      <c r="E5" s="10" t="s">
        <v>68</v>
      </c>
      <c r="I5" s="10" t="s">
        <v>69</v>
      </c>
    </row>
    <row r="6" spans="1:17" s="10" customFormat="1" ht="81" x14ac:dyDescent="0.15">
      <c r="A6" s="11" t="s">
        <v>70</v>
      </c>
      <c r="B6" s="11" t="s">
        <v>71</v>
      </c>
      <c r="C6" s="11" t="s">
        <v>72</v>
      </c>
      <c r="D6" s="11"/>
      <c r="E6" s="11"/>
      <c r="F6" s="11"/>
      <c r="G6" s="11"/>
      <c r="H6" s="11"/>
      <c r="I6" s="11"/>
      <c r="J6" s="11"/>
      <c r="K6" s="11"/>
    </row>
    <row r="8" spans="1:17" x14ac:dyDescent="0.15">
      <c r="B8" s="9" t="s">
        <v>79</v>
      </c>
    </row>
    <row r="9" spans="1:17" x14ac:dyDescent="0.15">
      <c r="B9" t="s">
        <v>99</v>
      </c>
      <c r="C9" t="s">
        <v>82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3" sqref="C3"/>
    </sheetView>
  </sheetViews>
  <sheetFormatPr defaultRowHeight="13.5" x14ac:dyDescent="0.15"/>
  <cols>
    <col min="1" max="1" width="11.625" style="18" bestFit="1" customWidth="1"/>
    <col min="2" max="3" width="15.125" style="20" bestFit="1" customWidth="1"/>
    <col min="4" max="4" width="14.375" bestFit="1" customWidth="1"/>
  </cols>
  <sheetData>
    <row r="1" spans="1:4" x14ac:dyDescent="0.15">
      <c r="A1" s="18" t="s">
        <v>1</v>
      </c>
      <c r="B1" s="20" t="s">
        <v>113</v>
      </c>
      <c r="C1" s="20" t="s">
        <v>114</v>
      </c>
      <c r="D1" t="s">
        <v>115</v>
      </c>
    </row>
    <row r="2" spans="1:4" x14ac:dyDescent="0.15">
      <c r="A2" s="19">
        <v>43070</v>
      </c>
      <c r="B2" s="20">
        <f ca="1">RAND()*50+0</f>
        <v>14.250450063858644</v>
      </c>
      <c r="C2" s="20">
        <f ca="1">RAND()*50+50</f>
        <v>56.60490585369606</v>
      </c>
      <c r="D2" s="20">
        <f ca="1">RAND()*50+100</f>
        <v>100.55223094772028</v>
      </c>
    </row>
    <row r="3" spans="1:4" x14ac:dyDescent="0.15">
      <c r="A3" s="19">
        <v>43071</v>
      </c>
      <c r="B3" s="20">
        <f t="shared" ref="B3:B15" ca="1" si="0">RAND()*50+0</f>
        <v>39.37534675697534</v>
      </c>
      <c r="C3" s="20">
        <f t="shared" ref="C3:C15" ca="1" si="1">RAND()*50+50</f>
        <v>96.889786844757907</v>
      </c>
      <c r="D3" s="20">
        <f t="shared" ref="D3:D15" ca="1" si="2">RAND()*50+100</f>
        <v>101.60089425748006</v>
      </c>
    </row>
    <row r="4" spans="1:4" x14ac:dyDescent="0.15">
      <c r="A4" s="19">
        <v>43072</v>
      </c>
      <c r="B4" s="20">
        <f t="shared" ca="1" si="0"/>
        <v>2.7444222044886613</v>
      </c>
      <c r="C4" s="20">
        <f t="shared" ca="1" si="1"/>
        <v>93.934374932731913</v>
      </c>
      <c r="D4" s="20">
        <f t="shared" ca="1" si="2"/>
        <v>131.47047773453946</v>
      </c>
    </row>
    <row r="5" spans="1:4" x14ac:dyDescent="0.15">
      <c r="A5" s="19">
        <v>43073</v>
      </c>
      <c r="B5" s="20">
        <f t="shared" ca="1" si="0"/>
        <v>5.4011497111470792</v>
      </c>
      <c r="C5" s="20">
        <f t="shared" ca="1" si="1"/>
        <v>66.801200737833881</v>
      </c>
      <c r="D5" s="20">
        <f t="shared" ca="1" si="2"/>
        <v>120.99080106585555</v>
      </c>
    </row>
    <row r="6" spans="1:4" x14ac:dyDescent="0.15">
      <c r="A6" s="19">
        <v>43074</v>
      </c>
      <c r="B6" s="20">
        <f t="shared" ca="1" si="0"/>
        <v>29.304342433783631</v>
      </c>
      <c r="C6" s="20">
        <f t="shared" ca="1" si="1"/>
        <v>76.181150302543486</v>
      </c>
      <c r="D6" s="20">
        <f t="shared" ca="1" si="2"/>
        <v>130.9880615009414</v>
      </c>
    </row>
    <row r="7" spans="1:4" x14ac:dyDescent="0.15">
      <c r="A7" s="19">
        <v>43075</v>
      </c>
      <c r="B7" s="20">
        <f t="shared" ca="1" si="0"/>
        <v>11.626306492642929</v>
      </c>
      <c r="C7" s="20">
        <f t="shared" ca="1" si="1"/>
        <v>71.188669300542699</v>
      </c>
      <c r="D7" s="20">
        <f t="shared" ca="1" si="2"/>
        <v>115.07535435967124</v>
      </c>
    </row>
    <row r="8" spans="1:4" x14ac:dyDescent="0.15">
      <c r="A8" s="19">
        <v>43076</v>
      </c>
      <c r="B8" s="20">
        <f t="shared" ca="1" si="0"/>
        <v>27.262670546821298</v>
      </c>
      <c r="C8" s="20">
        <f t="shared" ca="1" si="1"/>
        <v>57.319676432645224</v>
      </c>
      <c r="D8" s="20">
        <f t="shared" ca="1" si="2"/>
        <v>142.85847362616511</v>
      </c>
    </row>
    <row r="9" spans="1:4" x14ac:dyDescent="0.15">
      <c r="A9" s="19">
        <v>43077</v>
      </c>
      <c r="B9" s="20">
        <f t="shared" ca="1" si="0"/>
        <v>37.581987547126822</v>
      </c>
      <c r="C9" s="20">
        <f t="shared" ca="1" si="1"/>
        <v>83.166674547732015</v>
      </c>
      <c r="D9" s="20">
        <f t="shared" ca="1" si="2"/>
        <v>122.40862157641735</v>
      </c>
    </row>
    <row r="10" spans="1:4" x14ac:dyDescent="0.15">
      <c r="A10" s="19">
        <v>43078</v>
      </c>
      <c r="B10" s="20">
        <f t="shared" ca="1" si="0"/>
        <v>44.183092475035515</v>
      </c>
      <c r="C10" s="20">
        <f t="shared" ca="1" si="1"/>
        <v>70.708364626332951</v>
      </c>
      <c r="D10" s="20">
        <f t="shared" ca="1" si="2"/>
        <v>134.58225926662402</v>
      </c>
    </row>
    <row r="11" spans="1:4" x14ac:dyDescent="0.15">
      <c r="A11" s="19">
        <v>43079</v>
      </c>
      <c r="B11" s="20">
        <f t="shared" ca="1" si="0"/>
        <v>12.992053671200793</v>
      </c>
      <c r="C11" s="20">
        <f t="shared" ca="1" si="1"/>
        <v>86.685190031580746</v>
      </c>
      <c r="D11" s="20">
        <f t="shared" ca="1" si="2"/>
        <v>122.5831858050871</v>
      </c>
    </row>
    <row r="12" spans="1:4" x14ac:dyDescent="0.15">
      <c r="A12" s="19">
        <v>43080</v>
      </c>
      <c r="B12" s="20">
        <f t="shared" ca="1" si="0"/>
        <v>31.240460978419854</v>
      </c>
      <c r="C12" s="20">
        <f t="shared" ca="1" si="1"/>
        <v>66.13174824151082</v>
      </c>
      <c r="D12" s="20">
        <f t="shared" ca="1" si="2"/>
        <v>111.69453096906197</v>
      </c>
    </row>
    <row r="13" spans="1:4" x14ac:dyDescent="0.15">
      <c r="A13" s="19">
        <v>43081</v>
      </c>
      <c r="B13" s="20">
        <f t="shared" ca="1" si="0"/>
        <v>38.872095643617399</v>
      </c>
      <c r="C13" s="20">
        <f t="shared" ca="1" si="1"/>
        <v>57.317258096772953</v>
      </c>
      <c r="D13" s="20">
        <f t="shared" ca="1" si="2"/>
        <v>117.96535032632025</v>
      </c>
    </row>
    <row r="14" spans="1:4" x14ac:dyDescent="0.15">
      <c r="A14" s="19">
        <v>43082</v>
      </c>
      <c r="B14" s="20">
        <f t="shared" ca="1" si="0"/>
        <v>4.9656367219811317</v>
      </c>
      <c r="C14" s="20">
        <f t="shared" ca="1" si="1"/>
        <v>77.945061976412489</v>
      </c>
      <c r="D14" s="20">
        <f t="shared" ca="1" si="2"/>
        <v>142.00453020753619</v>
      </c>
    </row>
    <row r="15" spans="1:4" x14ac:dyDescent="0.15">
      <c r="A15" s="19">
        <v>43083</v>
      </c>
      <c r="B15" s="20">
        <f t="shared" ca="1" si="0"/>
        <v>39.664557532527439</v>
      </c>
      <c r="C15" s="20">
        <f t="shared" ca="1" si="1"/>
        <v>82.080854899736522</v>
      </c>
      <c r="D15" s="20">
        <f t="shared" ca="1" si="2"/>
        <v>100.2740846746309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K5" sqref="K5"/>
    </sheetView>
  </sheetViews>
  <sheetFormatPr defaultRowHeight="13.5" x14ac:dyDescent="0.15"/>
  <cols>
    <col min="2" max="2" width="9.5" bestFit="1" customWidth="1"/>
  </cols>
  <sheetData>
    <row r="1" spans="1:3" x14ac:dyDescent="0.15">
      <c r="A1" t="s">
        <v>116</v>
      </c>
      <c r="B1" t="s">
        <v>117</v>
      </c>
      <c r="C1" t="s">
        <v>118</v>
      </c>
    </row>
    <row r="2" spans="1:3" x14ac:dyDescent="0.15">
      <c r="A2" s="19">
        <v>43070</v>
      </c>
      <c r="B2" s="20">
        <f ca="1">RAND()*5+20</f>
        <v>23.151124492802754</v>
      </c>
      <c r="C2" s="20">
        <f ca="1">RAND()*2+18</f>
        <v>19.834129816169064</v>
      </c>
    </row>
    <row r="3" spans="1:3" x14ac:dyDescent="0.15">
      <c r="A3" s="19">
        <v>43071</v>
      </c>
      <c r="B3" s="20">
        <f t="shared" ref="B3:B14" ca="1" si="0">RAND()*5+20</f>
        <v>22.083729679691164</v>
      </c>
      <c r="C3" s="20">
        <f t="shared" ref="C3:C14" ca="1" si="1">RAND()*2+18</f>
        <v>18.098810317922105</v>
      </c>
    </row>
    <row r="4" spans="1:3" x14ac:dyDescent="0.15">
      <c r="A4" s="19">
        <v>43072</v>
      </c>
      <c r="B4" s="20">
        <f t="shared" ca="1" si="0"/>
        <v>21.888115867562391</v>
      </c>
      <c r="C4" s="20">
        <f t="shared" ca="1" si="1"/>
        <v>19.235589528064807</v>
      </c>
    </row>
    <row r="5" spans="1:3" x14ac:dyDescent="0.15">
      <c r="A5" s="19">
        <v>43073</v>
      </c>
      <c r="B5" s="20">
        <f t="shared" ca="1" si="0"/>
        <v>20.944182875224374</v>
      </c>
      <c r="C5" s="20">
        <f t="shared" ca="1" si="1"/>
        <v>18.091438508977152</v>
      </c>
    </row>
    <row r="6" spans="1:3" x14ac:dyDescent="0.15">
      <c r="A6" s="19">
        <v>43074</v>
      </c>
      <c r="B6" s="20">
        <f t="shared" ca="1" si="0"/>
        <v>21.184487247530324</v>
      </c>
      <c r="C6" s="20">
        <f t="shared" ca="1" si="1"/>
        <v>19.451196597922397</v>
      </c>
    </row>
    <row r="7" spans="1:3" x14ac:dyDescent="0.15">
      <c r="A7" s="19">
        <v>43075</v>
      </c>
      <c r="B7" s="20">
        <f t="shared" ca="1" si="0"/>
        <v>24.011838164858375</v>
      </c>
      <c r="C7" s="20">
        <f t="shared" ca="1" si="1"/>
        <v>19.64694479109691</v>
      </c>
    </row>
    <row r="8" spans="1:3" x14ac:dyDescent="0.15">
      <c r="A8" s="19">
        <v>43076</v>
      </c>
      <c r="B8" s="20">
        <f t="shared" ca="1" si="0"/>
        <v>20.624892908826645</v>
      </c>
      <c r="C8" s="20">
        <f t="shared" ca="1" si="1"/>
        <v>18.540744751101812</v>
      </c>
    </row>
    <row r="9" spans="1:3" x14ac:dyDescent="0.15">
      <c r="A9" s="19">
        <v>43077</v>
      </c>
      <c r="B9" s="20">
        <f t="shared" ca="1" si="0"/>
        <v>20.910781527513354</v>
      </c>
      <c r="C9" s="20">
        <f t="shared" ca="1" si="1"/>
        <v>19.581246738133398</v>
      </c>
    </row>
    <row r="10" spans="1:3" x14ac:dyDescent="0.15">
      <c r="A10" s="19">
        <v>43078</v>
      </c>
      <c r="B10" s="20">
        <f t="shared" ca="1" si="0"/>
        <v>24.015986712546187</v>
      </c>
      <c r="C10" s="20">
        <f t="shared" ca="1" si="1"/>
        <v>19.716626719250982</v>
      </c>
    </row>
    <row r="11" spans="1:3" x14ac:dyDescent="0.15">
      <c r="A11" s="19">
        <v>43079</v>
      </c>
      <c r="B11" s="20">
        <f t="shared" ca="1" si="0"/>
        <v>21.317522335251052</v>
      </c>
      <c r="C11" s="20">
        <f t="shared" ca="1" si="1"/>
        <v>19.971185255591998</v>
      </c>
    </row>
    <row r="12" spans="1:3" x14ac:dyDescent="0.15">
      <c r="A12" s="19">
        <v>43080</v>
      </c>
      <c r="B12" s="20">
        <f t="shared" ca="1" si="0"/>
        <v>20.891004628269421</v>
      </c>
      <c r="C12" s="20">
        <f t="shared" ca="1" si="1"/>
        <v>19.649473133723902</v>
      </c>
    </row>
    <row r="13" spans="1:3" x14ac:dyDescent="0.15">
      <c r="A13" s="19">
        <v>43081</v>
      </c>
      <c r="B13" s="20">
        <f t="shared" ca="1" si="0"/>
        <v>22.501604001820631</v>
      </c>
      <c r="C13" s="20">
        <f t="shared" ca="1" si="1"/>
        <v>19.400806155516129</v>
      </c>
    </row>
    <row r="14" spans="1:3" x14ac:dyDescent="0.15">
      <c r="A14" s="19">
        <v>43082</v>
      </c>
      <c r="B14" s="20">
        <f t="shared" ca="1" si="0"/>
        <v>24.043878478530655</v>
      </c>
      <c r="C14" s="20">
        <f t="shared" ca="1" si="1"/>
        <v>18.598982523063864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总表</vt:lpstr>
      <vt:lpstr>渠道表</vt:lpstr>
      <vt:lpstr>留存表</vt:lpstr>
      <vt:lpstr>付费表</vt:lpstr>
      <vt:lpstr>Sheet8</vt:lpstr>
      <vt:lpstr>Sheet6</vt:lpstr>
      <vt:lpstr>Sheet7</vt:lpstr>
      <vt:lpstr>Sheet9</vt:lpstr>
      <vt:lpstr>Sheet3</vt:lpstr>
      <vt:lpstr>Sheet2</vt:lpstr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2017-12-21T11:42:54Z</dcterms:modified>
</cp:coreProperties>
</file>